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SKU Data" sheetId="2" state="visible" r:id="rId2"/>
  </sheets>
  <definedNames>
    <definedName name="_xlnm._FilterDatabase" localSheetId="0" hidden="1">'Daily Data'!$A$6:$M$138</definedName>
    <definedName name="_xlnm._FilterDatabase" localSheetId="1" hidden="1">'SKU Data'!$A$2:$F$697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sz val="12"/>
      <u val="single"/>
    </font>
    <font>
      <name val="Times New Roman"/>
      <family val="1"/>
      <sz val="10"/>
    </font>
    <font>
      <name val="Times New Roman"/>
      <family val="1"/>
      <b val="1"/>
      <color indexed="14"/>
      <sz val="20"/>
    </font>
    <font>
      <name val="Arial"/>
      <family val="2"/>
      <b val="1"/>
      <sz val="10"/>
    </font>
    <font>
      <name val="Arial"/>
      <family val="2"/>
      <b val="1"/>
      <color indexed="8"/>
      <sz val="10"/>
    </font>
    <font>
      <name val="Arial"/>
      <family val="2"/>
      <sz val="10"/>
    </font>
    <font>
      <name val="Times New Roman"/>
      <family val="1"/>
      <b val="1"/>
      <sz val="20"/>
    </font>
    <font>
      <name val="Arial"/>
      <family val="2"/>
      <color rgb="FF25396E"/>
      <sz val="8"/>
    </font>
    <font>
      <name val="Arial"/>
      <family val="2"/>
      <color rgb="FF000000"/>
      <sz val="8"/>
    </font>
    <font>
      <name val="Arial"/>
      <family val="2"/>
      <color rgb="FF25396E"/>
      <sz val="8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Verdana"/>
      <family val="2"/>
      <sz val="10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6" fontId="9" fillId="0" borderId="0"/>
    <xf numFmtId="166" fontId="9" fillId="0" borderId="0"/>
    <xf numFmtId="0" fontId="9" fillId="0" borderId="0"/>
    <xf numFmtId="0" fontId="17" fillId="0" borderId="0"/>
    <xf numFmtId="0" fontId="17" fillId="0" borderId="0"/>
  </cellStyleXfs>
  <cellXfs count="130">
    <xf numFmtId="0" fontId="0" fillId="0" borderId="0" pivotButton="0" quotePrefix="0" xfId="0"/>
    <xf numFmtId="0" fontId="5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1" fontId="7" fillId="0" borderId="0" applyAlignment="1" pivotButton="0" quotePrefix="0" xfId="0">
      <alignment horizontal="left"/>
    </xf>
    <xf numFmtId="0" fontId="5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left"/>
    </xf>
    <xf numFmtId="164" fontId="8" fillId="0" borderId="1" applyAlignment="1" pivotButton="0" quotePrefix="0" xfId="0">
      <alignment horizontal="left" vertical="center"/>
    </xf>
    <xf numFmtId="164" fontId="8" fillId="0" borderId="1" applyAlignment="1" pivotButton="0" quotePrefix="0" xfId="1">
      <alignment horizontal="left"/>
    </xf>
    <xf numFmtId="164" fontId="8" fillId="0" borderId="8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 vertical="center"/>
    </xf>
    <xf numFmtId="1" fontId="7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right" vertical="center"/>
    </xf>
    <xf numFmtId="39" fontId="1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64" fontId="13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left"/>
    </xf>
    <xf numFmtId="1" fontId="7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165" fontId="7" fillId="0" borderId="2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1" fontId="7" fillId="0" borderId="14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164" fontId="8" fillId="0" borderId="3" applyAlignment="1" pivotButton="0" quotePrefix="0" xfId="0">
      <alignment horizontal="left"/>
    </xf>
    <xf numFmtId="0" fontId="15" fillId="0" borderId="0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/>
    </xf>
    <xf numFmtId="1" fontId="7" fillId="0" borderId="4" applyAlignment="1" pivotButton="0" quotePrefix="0" xfId="0">
      <alignment horizontal="left"/>
    </xf>
    <xf numFmtId="0" fontId="8" fillId="0" borderId="8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15" fillId="2" borderId="6" applyAlignment="1" pivotButton="0" quotePrefix="0" xfId="0">
      <alignment horizontal="center" vertical="center"/>
    </xf>
    <xf numFmtId="0" fontId="16" fillId="2" borderId="9" applyAlignment="1" pivotButton="0" quotePrefix="0" xfId="0">
      <alignment horizontal="center" vertical="center" wrapText="1"/>
    </xf>
    <xf numFmtId="164" fontId="16" fillId="2" borderId="9" applyAlignment="1" pivotButton="0" quotePrefix="0" xfId="0">
      <alignment horizontal="center" vertical="center" wrapText="1"/>
    </xf>
    <xf numFmtId="0" fontId="15" fillId="2" borderId="7" applyAlignment="1" pivotButton="0" quotePrefix="0" xfId="0">
      <alignment horizontal="center" vertical="center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164" fontId="8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" fontId="14" fillId="0" borderId="1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/>
    </xf>
    <xf numFmtId="15" fontId="3" fillId="4" borderId="12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/>
    </xf>
    <xf numFmtId="0" fontId="14" fillId="0" borderId="10" applyAlignment="1" applyProtection="1" pivotButton="0" quotePrefix="0" xfId="0">
      <alignment horizontal="center" vertical="center"/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4" fillId="0" borderId="8" applyAlignment="1" applyProtection="1" pivotButton="0" quotePrefix="0" xfId="0">
      <alignment horizontal="center" vertical="center"/>
      <protection locked="0" hidden="0"/>
    </xf>
    <xf numFmtId="0" fontId="14" fillId="0" borderId="8" applyAlignment="1" pivotButton="0" quotePrefix="0" xfId="0">
      <alignment horizontal="center" vertical="center" wrapText="1"/>
    </xf>
    <xf numFmtId="164" fontId="14" fillId="0" borderId="8" applyAlignment="1" pivotButton="0" quotePrefix="0" xfId="0">
      <alignment horizontal="center" vertical="center"/>
    </xf>
    <xf numFmtId="1" fontId="14" fillId="0" borderId="8" applyAlignment="1" pivotButton="0" quotePrefix="0" xfId="0">
      <alignment horizontal="center" vertical="center"/>
    </xf>
    <xf numFmtId="0" fontId="14" fillId="0" borderId="5" applyAlignment="1" applyProtection="1" pivotButton="0" quotePrefix="0" xfId="0">
      <alignment horizontal="center" vertical="center"/>
      <protection locked="0" hidden="0"/>
    </xf>
    <xf numFmtId="0" fontId="4" fillId="4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166" fontId="4" fillId="4" borderId="9" applyAlignment="1" pivotButton="0" quotePrefix="0" xfId="1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14" fontId="14" fillId="0" borderId="18" applyAlignment="1" applyProtection="1" pivotButton="0" quotePrefix="0" xfId="0">
      <alignment horizontal="center" vertical="center"/>
      <protection locked="0" hidden="0"/>
    </xf>
    <xf numFmtId="14" fontId="14" fillId="0" borderId="19" applyAlignment="1" applyProtection="1" pivotButton="0" quotePrefix="0" xfId="0">
      <alignment horizontal="center" vertical="center"/>
      <protection locked="0" hidden="0"/>
    </xf>
    <xf numFmtId="0" fontId="4" fillId="4" borderId="16" applyAlignment="1" pivotButton="0" quotePrefix="0" xfId="0">
      <alignment horizontal="center" vertical="center"/>
    </xf>
    <xf numFmtId="0" fontId="14" fillId="0" borderId="21" applyAlignment="1" applyProtection="1" pivotButton="0" quotePrefix="0" xfId="0">
      <alignment horizontal="center" vertical="center"/>
      <protection locked="0" hidden="0"/>
    </xf>
    <xf numFmtId="0" fontId="14" fillId="0" borderId="22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2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5" borderId="0" applyAlignment="1" pivotButton="0" quotePrefix="0" xfId="0">
      <alignment horizontal="left"/>
    </xf>
    <xf numFmtId="0" fontId="8" fillId="5" borderId="0" applyAlignment="1" pivotButton="0" quotePrefix="0" xfId="0">
      <alignment horizontal="left"/>
    </xf>
    <xf numFmtId="164" fontId="8" fillId="5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4" fillId="0" borderId="3" applyAlignment="1" applyProtection="1" pivotButton="0" quotePrefix="0" xfId="0">
      <alignment horizontal="center" vertical="center"/>
      <protection locked="0" hidden="0"/>
    </xf>
    <xf numFmtId="0" fontId="14" fillId="0" borderId="3" applyAlignment="1" pivotButton="0" quotePrefix="0" xfId="0">
      <alignment horizontal="center" vertical="center" wrapText="1"/>
    </xf>
    <xf numFmtId="164" fontId="14" fillId="0" borderId="3" applyAlignment="1" pivotButton="0" quotePrefix="0" xfId="0">
      <alignment horizontal="center" vertical="center"/>
    </xf>
    <xf numFmtId="1" fontId="14" fillId="0" borderId="3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14" fontId="14" fillId="0" borderId="20" applyAlignment="1" applyProtection="1" pivotButton="0" quotePrefix="0" xfId="0">
      <alignment horizontal="center" vertical="center"/>
      <protection locked="0" hidden="0"/>
    </xf>
    <xf numFmtId="0" fontId="14" fillId="0" borderId="23" applyAlignment="1" applyProtection="1" pivotButton="0" quotePrefix="0" xfId="0">
      <alignment horizontal="center" vertical="center"/>
      <protection locked="0" hidden="0"/>
    </xf>
    <xf numFmtId="0" fontId="10" fillId="4" borderId="11" applyAlignment="1" pivotButton="0" quotePrefix="0" xfId="0">
      <alignment horizontal="center"/>
    </xf>
    <xf numFmtId="0" fontId="10" fillId="4" borderId="13" applyAlignment="1" pivotButton="0" quotePrefix="0" xfId="0">
      <alignment horizontal="center"/>
    </xf>
    <xf numFmtId="0" fontId="10" fillId="4" borderId="1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4" borderId="16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166" fontId="4" fillId="4" borderId="9" applyAlignment="1" pivotButton="0" quotePrefix="0" xfId="1">
      <alignment horizontal="center" vertical="center"/>
    </xf>
    <xf numFmtId="164" fontId="14" fillId="0" borderId="8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4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left"/>
    </xf>
    <xf numFmtId="164" fontId="16" fillId="2" borderId="9" applyAlignment="1" pivotButton="0" quotePrefix="0" xfId="0">
      <alignment horizontal="center" vertical="center" wrapText="1"/>
    </xf>
  </cellXfs>
  <cellStyles count="6">
    <cellStyle name="Normal" xfId="0" builtinId="0"/>
    <cellStyle name="Currency" xfId="1" builtinId="4"/>
    <cellStyle name="Currency 2" xfId="2"/>
    <cellStyle name="Normal 2" xfId="3"/>
    <cellStyle name="Normal 2 7" xfId="4"/>
    <cellStyle name="Normal 12" xfId="5"/>
  </cellStyles>
  <dxfs count="2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3</row>
      <rowOff>0</rowOff>
    </from>
    <to>
      <col>2</col>
      <colOff>9525</colOff>
      <row>3</row>
      <rowOff>9525</rowOff>
    </to>
    <pic>
      <nvPicPr>
        <cNvPr id="1028" name="Picture 1" descr="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43025" y="5334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0</colOff>
      <row>3</row>
      <rowOff>0</rowOff>
    </from>
    <to>
      <col>2</col>
      <colOff>9525</colOff>
      <row>3</row>
      <rowOff>9525</rowOff>
    </to>
    <pic>
      <nvPicPr>
        <cNvPr id="1029" name="Picture 2" descr="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43025" y="5334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M500"/>
  <sheetViews>
    <sheetView showGridLines="0" tabSelected="1" zoomScale="8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J3" sqref="J3"/>
    </sheetView>
  </sheetViews>
  <sheetFormatPr baseColWidth="8" defaultColWidth="9.109375" defaultRowHeight="15.6"/>
  <cols>
    <col width="4.88671875" bestFit="1" customWidth="1" style="9" min="1" max="1"/>
    <col width="15.33203125" customWidth="1" style="8" min="2" max="2"/>
    <col width="27.88671875" customWidth="1" style="8" min="3" max="3"/>
    <col width="19.33203125" customWidth="1" style="8" min="4" max="4"/>
    <col width="30.6640625" customWidth="1" style="8" min="5" max="5"/>
    <col width="6.88671875" bestFit="1" customWidth="1" style="9" min="6" max="6"/>
    <col width="13.44140625" customWidth="1" style="9" min="7" max="8"/>
    <col width="24.6640625" bestFit="1" customWidth="1" style="9" min="9" max="9"/>
    <col width="32.33203125" customWidth="1" style="9" min="10" max="10"/>
    <col width="10.5546875" bestFit="1" customWidth="1" style="9" min="11" max="11"/>
    <col width="20.109375" customWidth="1" style="64" min="12" max="12"/>
    <col width="21.109375" bestFit="1" customWidth="1" style="9" min="13" max="13"/>
    <col width="9.109375" customWidth="1" style="9" min="14" max="16384"/>
  </cols>
  <sheetData>
    <row r="1" ht="13.2" customHeight="1">
      <c r="L1" s="9" t="n"/>
    </row>
    <row r="2" ht="13.8" customHeight="1" thickBot="1">
      <c r="L2" s="9" t="n"/>
    </row>
    <row r="3" ht="16.2" customFormat="1" customHeight="1" s="12" thickBot="1">
      <c r="A3" s="10" t="n"/>
      <c r="B3" s="10" t="n"/>
      <c r="C3" s="10" t="n"/>
      <c r="D3" s="10" t="n"/>
      <c r="E3" s="10" t="n"/>
      <c r="F3" s="10" t="n"/>
      <c r="G3" s="11" t="n"/>
      <c r="H3" s="11" t="n"/>
      <c r="I3" s="66" t="inlineStr">
        <is>
          <t>Date</t>
        </is>
      </c>
      <c r="J3" s="67" t="n"/>
      <c r="K3" s="10" t="n"/>
    </row>
    <row r="4" ht="25.2" customFormat="1" customHeight="1" s="12" thickBot="1">
      <c r="A4" s="10" t="n"/>
      <c r="B4" s="10" t="n"/>
      <c r="C4" s="121" t="inlineStr">
        <is>
          <t>KOHLS.COM</t>
        </is>
      </c>
      <c r="D4" s="122" t="n"/>
      <c r="E4" s="122" t="n"/>
      <c r="F4" s="122" t="n"/>
      <c r="G4" s="122" t="n"/>
      <c r="H4" s="122" t="n"/>
      <c r="I4" s="122" t="n"/>
      <c r="J4" s="123" t="n"/>
      <c r="K4" s="10" t="n"/>
    </row>
    <row r="5" ht="25.2" customFormat="1" customHeight="1" s="12" thickBot="1">
      <c r="A5" s="10" t="n"/>
      <c r="B5" s="10" t="n"/>
      <c r="C5" s="13" t="n"/>
      <c r="D5" s="13" t="n"/>
      <c r="E5" s="13" t="n"/>
      <c r="F5" s="13" t="n"/>
      <c r="G5" s="13" t="n"/>
      <c r="H5" s="13" t="n"/>
      <c r="I5" s="13" t="n"/>
      <c r="J5" s="13" t="n"/>
      <c r="K5" s="10" t="n"/>
    </row>
    <row r="6" ht="31.8" customFormat="1" customHeight="1" s="12" thickBot="1">
      <c r="A6" s="84" t="inlineStr">
        <is>
          <t>Sr #</t>
        </is>
      </c>
      <c r="B6" s="81" t="inlineStr">
        <is>
          <t>Date</t>
        </is>
      </c>
      <c r="C6" s="78" t="inlineStr">
        <is>
          <t>Customer</t>
        </is>
      </c>
      <c r="D6" s="78" t="inlineStr">
        <is>
          <t>Order #</t>
        </is>
      </c>
      <c r="E6" s="78" t="inlineStr">
        <is>
          <t>JS Style #</t>
        </is>
      </c>
      <c r="F6" s="78" t="inlineStr">
        <is>
          <t>Order Pcs.</t>
        </is>
      </c>
      <c r="G6" s="124" t="inlineStr">
        <is>
          <t>COST</t>
        </is>
      </c>
      <c r="H6" s="124" t="inlineStr">
        <is>
          <t>Price</t>
        </is>
      </c>
      <c r="I6" s="78" t="inlineStr">
        <is>
          <t xml:space="preserve">Service </t>
        </is>
      </c>
      <c r="J6" s="78" t="inlineStr">
        <is>
          <t>Tracking #</t>
        </is>
      </c>
      <c r="K6" s="77" t="inlineStr">
        <is>
          <t>INV #</t>
        </is>
      </c>
      <c r="L6" s="78" t="inlineStr">
        <is>
          <t>Customer Sku</t>
        </is>
      </c>
      <c r="M6" s="80" t="inlineStr">
        <is>
          <t>Right Click Style #</t>
        </is>
      </c>
    </row>
    <row r="7" ht="21.75" customFormat="1" customHeight="1" s="71">
      <c r="A7" s="85" t="n"/>
      <c r="B7" s="82" t="n"/>
      <c r="C7" s="72" t="n"/>
      <c r="D7" s="72" t="n"/>
      <c r="E7" s="73">
        <f>VLOOKUP(L7,'SKU Data'!A:B,2,0)</f>
        <v/>
      </c>
      <c r="F7" s="72" t="n"/>
      <c r="G7" s="125">
        <f>VLOOKUP(L7,'SKU Data'!A:C,3,0)</f>
        <v/>
      </c>
      <c r="H7" s="125">
        <f>F7*G7</f>
        <v/>
      </c>
      <c r="I7" s="72" t="n"/>
      <c r="J7" s="73" t="n"/>
      <c r="K7" s="72" t="n"/>
      <c r="L7" s="75" t="n"/>
      <c r="M7" s="76">
        <f>VLOOKUP(L7,'SKU Data'!A:D,4,0)</f>
        <v/>
      </c>
    </row>
    <row r="8" ht="21.75" customFormat="1" customHeight="1" s="71">
      <c r="A8" s="86" t="n"/>
      <c r="B8" s="83" t="n"/>
      <c r="C8" s="50" t="n"/>
      <c r="D8" s="50" t="n"/>
      <c r="E8" s="68">
        <f>VLOOKUP(L8,'SKU Data'!A:B,2,0)</f>
        <v/>
      </c>
      <c r="F8" s="50" t="n"/>
      <c r="G8" s="126">
        <f>VLOOKUP(L8,'SKU Data'!A:C,3,0)</f>
        <v/>
      </c>
      <c r="H8" s="126">
        <f>F8*G8</f>
        <v/>
      </c>
      <c r="I8" s="50" t="n"/>
      <c r="J8" s="68" t="n"/>
      <c r="K8" s="50" t="n"/>
      <c r="L8" s="65" t="n"/>
      <c r="M8" s="70">
        <f>VLOOKUP(L8,'SKU Data'!A:D,4,0)</f>
        <v/>
      </c>
    </row>
    <row r="9" ht="21.75" customFormat="1" customHeight="1" s="71">
      <c r="A9" s="86" t="n"/>
      <c r="B9" s="83" t="n"/>
      <c r="C9" s="50" t="n"/>
      <c r="D9" s="50" t="n"/>
      <c r="E9" s="68">
        <f>VLOOKUP(L9,'SKU Data'!A:B,2,0)</f>
        <v/>
      </c>
      <c r="F9" s="50" t="n"/>
      <c r="G9" s="126">
        <f>VLOOKUP(L9,'SKU Data'!A:C,3,0)</f>
        <v/>
      </c>
      <c r="H9" s="126">
        <f>F9*G9</f>
        <v/>
      </c>
      <c r="I9" s="50" t="n"/>
      <c r="J9" s="68" t="n"/>
      <c r="K9" s="50" t="n"/>
      <c r="L9" s="65" t="n"/>
      <c r="M9" s="70">
        <f>VLOOKUP(L9,'SKU Data'!A:D,4,0)</f>
        <v/>
      </c>
    </row>
    <row r="10" ht="21.75" customFormat="1" customHeight="1" s="71">
      <c r="A10" s="86" t="n"/>
      <c r="B10" s="83" t="n"/>
      <c r="C10" s="50" t="n"/>
      <c r="D10" s="50" t="n"/>
      <c r="E10" s="68">
        <f>VLOOKUP(L10,'SKU Data'!A:B,2,0)</f>
        <v/>
      </c>
      <c r="F10" s="50" t="n"/>
      <c r="G10" s="126">
        <f>VLOOKUP(L10,'SKU Data'!A:C,3,0)</f>
        <v/>
      </c>
      <c r="H10" s="126">
        <f>F10*G10</f>
        <v/>
      </c>
      <c r="I10" s="50" t="n"/>
      <c r="J10" s="68" t="n"/>
      <c r="K10" s="50" t="n"/>
      <c r="L10" s="65" t="n"/>
      <c r="M10" s="70">
        <f>VLOOKUP(L10,'SKU Data'!A:D,4,0)</f>
        <v/>
      </c>
    </row>
    <row r="11" ht="21.75" customFormat="1" customHeight="1" s="71">
      <c r="A11" s="86" t="n"/>
      <c r="B11" s="83" t="n"/>
      <c r="C11" s="50" t="n"/>
      <c r="D11" s="50" t="n"/>
      <c r="E11" s="68">
        <f>VLOOKUP(L11,'SKU Data'!A:B,2,0)</f>
        <v/>
      </c>
      <c r="F11" s="50" t="n"/>
      <c r="G11" s="126">
        <f>VLOOKUP(L11,'SKU Data'!A:C,3,0)</f>
        <v/>
      </c>
      <c r="H11" s="126">
        <f>F11*G11</f>
        <v/>
      </c>
      <c r="I11" s="50" t="n"/>
      <c r="J11" s="68" t="n"/>
      <c r="K11" s="50" t="n"/>
      <c r="L11" s="65" t="n"/>
      <c r="M11" s="70">
        <f>VLOOKUP(L11,'SKU Data'!A:D,4,0)</f>
        <v/>
      </c>
    </row>
    <row r="12" ht="21.75" customFormat="1" customHeight="1" s="71">
      <c r="A12" s="86" t="n"/>
      <c r="B12" s="83" t="n"/>
      <c r="C12" s="50" t="n"/>
      <c r="D12" s="50" t="n"/>
      <c r="E12" s="68">
        <f>VLOOKUP(L12,'SKU Data'!A:B,2,0)</f>
        <v/>
      </c>
      <c r="F12" s="50" t="n"/>
      <c r="G12" s="126">
        <f>VLOOKUP(L12,'SKU Data'!A:C,3,0)</f>
        <v/>
      </c>
      <c r="H12" s="126">
        <f>F12*G12</f>
        <v/>
      </c>
      <c r="I12" s="50" t="n"/>
      <c r="J12" s="68" t="n"/>
      <c r="K12" s="50" t="n"/>
      <c r="L12" s="65" t="n"/>
      <c r="M12" s="70">
        <f>VLOOKUP(L12,'SKU Data'!A:D,4,0)</f>
        <v/>
      </c>
    </row>
    <row r="13" ht="21.75" customFormat="1" customHeight="1" s="71">
      <c r="A13" s="86" t="n"/>
      <c r="B13" s="83" t="n"/>
      <c r="C13" s="50" t="n"/>
      <c r="D13" s="50" t="n"/>
      <c r="E13" s="68">
        <f>VLOOKUP(L13,'SKU Data'!A:B,2,0)</f>
        <v/>
      </c>
      <c r="F13" s="50" t="n"/>
      <c r="G13" s="126">
        <f>VLOOKUP(L13,'SKU Data'!A:C,3,0)</f>
        <v/>
      </c>
      <c r="H13" s="126">
        <f>F13*G13</f>
        <v/>
      </c>
      <c r="I13" s="50" t="n"/>
      <c r="J13" s="68" t="n"/>
      <c r="K13" s="50" t="n"/>
      <c r="L13" s="65" t="n"/>
      <c r="M13" s="70">
        <f>VLOOKUP(L13,'SKU Data'!A:D,4,0)</f>
        <v/>
      </c>
    </row>
    <row r="14" ht="21.75" customFormat="1" customHeight="1" s="71">
      <c r="A14" s="86" t="n"/>
      <c r="B14" s="83" t="n"/>
      <c r="C14" s="50" t="n"/>
      <c r="D14" s="50" t="n"/>
      <c r="E14" s="68">
        <f>VLOOKUP(L14,'SKU Data'!A:B,2,0)</f>
        <v/>
      </c>
      <c r="F14" s="50" t="n"/>
      <c r="G14" s="126">
        <f>VLOOKUP(L14,'SKU Data'!A:C,3,0)</f>
        <v/>
      </c>
      <c r="H14" s="126">
        <f>F14*G14</f>
        <v/>
      </c>
      <c r="I14" s="50" t="n"/>
      <c r="J14" s="68" t="n"/>
      <c r="K14" s="50" t="n"/>
      <c r="L14" s="65" t="n"/>
      <c r="M14" s="70">
        <f>VLOOKUP(L14,'SKU Data'!A:D,4,0)</f>
        <v/>
      </c>
    </row>
    <row r="15" ht="21.75" customFormat="1" customHeight="1" s="71">
      <c r="A15" s="86" t="n"/>
      <c r="B15" s="83" t="n"/>
      <c r="C15" s="50" t="n"/>
      <c r="D15" s="50" t="n"/>
      <c r="E15" s="68">
        <f>VLOOKUP(L15,'SKU Data'!A:B,2,0)</f>
        <v/>
      </c>
      <c r="F15" s="50" t="n"/>
      <c r="G15" s="126">
        <f>VLOOKUP(L15,'SKU Data'!A:C,3,0)</f>
        <v/>
      </c>
      <c r="H15" s="126">
        <f>F15*G15</f>
        <v/>
      </c>
      <c r="I15" s="50" t="n"/>
      <c r="J15" s="68" t="n"/>
      <c r="K15" s="50" t="n"/>
      <c r="L15" s="65" t="n"/>
      <c r="M15" s="70">
        <f>VLOOKUP(L15,'SKU Data'!A:D,4,0)</f>
        <v/>
      </c>
    </row>
    <row r="16" ht="21.75" customFormat="1" customHeight="1" s="71">
      <c r="A16" s="86" t="n"/>
      <c r="B16" s="83" t="n"/>
      <c r="C16" s="50" t="n"/>
      <c r="D16" s="50" t="n"/>
      <c r="E16" s="68">
        <f>VLOOKUP(L16,'SKU Data'!A:B,2,0)</f>
        <v/>
      </c>
      <c r="F16" s="50" t="n"/>
      <c r="G16" s="126">
        <f>VLOOKUP(L16,'SKU Data'!A:C,3,0)</f>
        <v/>
      </c>
      <c r="H16" s="126">
        <f>F16*G16</f>
        <v/>
      </c>
      <c r="I16" s="50" t="n"/>
      <c r="J16" s="68" t="n"/>
      <c r="K16" s="50" t="n"/>
      <c r="L16" s="65" t="n"/>
      <c r="M16" s="70">
        <f>VLOOKUP(L16,'SKU Data'!A:D,4,0)</f>
        <v/>
      </c>
    </row>
    <row r="17" ht="21.75" customFormat="1" customHeight="1" s="71">
      <c r="A17" s="86" t="n"/>
      <c r="B17" s="83" t="n"/>
      <c r="C17" s="50" t="n"/>
      <c r="D17" s="50" t="n"/>
      <c r="E17" s="68">
        <f>VLOOKUP(L17,'SKU Data'!A:B,2,0)</f>
        <v/>
      </c>
      <c r="F17" s="50" t="n"/>
      <c r="G17" s="126">
        <f>VLOOKUP(L17,'SKU Data'!A:C,3,0)</f>
        <v/>
      </c>
      <c r="H17" s="126">
        <f>F17*G17</f>
        <v/>
      </c>
      <c r="I17" s="50" t="n"/>
      <c r="J17" s="68" t="n"/>
      <c r="K17" s="50" t="n"/>
      <c r="L17" s="65" t="n"/>
      <c r="M17" s="70">
        <f>VLOOKUP(L17,'SKU Data'!A:D,4,0)</f>
        <v/>
      </c>
    </row>
    <row r="18" ht="21.75" customFormat="1" customHeight="1" s="71">
      <c r="A18" s="86" t="n"/>
      <c r="B18" s="83" t="n"/>
      <c r="C18" s="50" t="n"/>
      <c r="D18" s="50" t="n"/>
      <c r="E18" s="68">
        <f>VLOOKUP(L18,'SKU Data'!A:B,2,0)</f>
        <v/>
      </c>
      <c r="F18" s="50" t="n"/>
      <c r="G18" s="126">
        <f>VLOOKUP(L18,'SKU Data'!A:C,3,0)</f>
        <v/>
      </c>
      <c r="H18" s="126">
        <f>F18*G18</f>
        <v/>
      </c>
      <c r="I18" s="50" t="n"/>
      <c r="J18" s="68" t="n"/>
      <c r="K18" s="50" t="n"/>
      <c r="L18" s="65" t="n"/>
      <c r="M18" s="70">
        <f>VLOOKUP(L18,'SKU Data'!A:D,4,0)</f>
        <v/>
      </c>
    </row>
    <row r="19" ht="21.75" customFormat="1" customHeight="1" s="71">
      <c r="A19" s="86" t="n"/>
      <c r="B19" s="83" t="n"/>
      <c r="C19" s="50" t="n"/>
      <c r="D19" s="50" t="n"/>
      <c r="E19" s="68">
        <f>VLOOKUP(L19,'SKU Data'!A:B,2,0)</f>
        <v/>
      </c>
      <c r="F19" s="50" t="n"/>
      <c r="G19" s="126">
        <f>VLOOKUP(L19,'SKU Data'!A:C,3,0)</f>
        <v/>
      </c>
      <c r="H19" s="126">
        <f>F19*G19</f>
        <v/>
      </c>
      <c r="I19" s="50" t="n"/>
      <c r="J19" s="68" t="n"/>
      <c r="K19" s="50" t="n"/>
      <c r="L19" s="65" t="n"/>
      <c r="M19" s="70">
        <f>VLOOKUP(L19,'SKU Data'!A:D,4,0)</f>
        <v/>
      </c>
    </row>
    <row r="20" ht="21.75" customFormat="1" customHeight="1" s="71">
      <c r="A20" s="86" t="n"/>
      <c r="B20" s="83" t="n"/>
      <c r="C20" s="50" t="n"/>
      <c r="D20" s="50" t="n"/>
      <c r="E20" s="68">
        <f>VLOOKUP(L20,'SKU Data'!A:B,2,0)</f>
        <v/>
      </c>
      <c r="F20" s="50" t="n"/>
      <c r="G20" s="126">
        <f>VLOOKUP(L20,'SKU Data'!A:C,3,0)</f>
        <v/>
      </c>
      <c r="H20" s="126">
        <f>F20*G20</f>
        <v/>
      </c>
      <c r="I20" s="50" t="n"/>
      <c r="J20" s="68" t="n"/>
      <c r="K20" s="50" t="n"/>
      <c r="L20" s="65" t="n"/>
      <c r="M20" s="70">
        <f>VLOOKUP(L20,'SKU Data'!A:D,4,0)</f>
        <v/>
      </c>
    </row>
    <row r="21" ht="21.75" customFormat="1" customHeight="1" s="71">
      <c r="A21" s="86" t="n"/>
      <c r="B21" s="83" t="n"/>
      <c r="C21" s="50" t="n"/>
      <c r="D21" s="50" t="n"/>
      <c r="E21" s="68">
        <f>VLOOKUP(L21,'SKU Data'!A:B,2,0)</f>
        <v/>
      </c>
      <c r="F21" s="50" t="n"/>
      <c r="G21" s="126">
        <f>VLOOKUP(L21,'SKU Data'!A:C,3,0)</f>
        <v/>
      </c>
      <c r="H21" s="126">
        <f>F21*G21</f>
        <v/>
      </c>
      <c r="I21" s="50" t="n"/>
      <c r="J21" s="68" t="n"/>
      <c r="K21" s="50" t="n"/>
      <c r="L21" s="65" t="n"/>
      <c r="M21" s="70">
        <f>VLOOKUP(L21,'SKU Data'!A:D,4,0)</f>
        <v/>
      </c>
    </row>
    <row r="22" ht="21.75" customFormat="1" customHeight="1" s="71">
      <c r="A22" s="86" t="n"/>
      <c r="B22" s="83" t="n"/>
      <c r="C22" s="50" t="n"/>
      <c r="D22" s="50" t="n"/>
      <c r="E22" s="68">
        <f>VLOOKUP(L22,'SKU Data'!A:B,2,0)</f>
        <v/>
      </c>
      <c r="F22" s="50" t="n"/>
      <c r="G22" s="126">
        <f>VLOOKUP(L22,'SKU Data'!A:C,3,0)</f>
        <v/>
      </c>
      <c r="H22" s="126">
        <f>F22*G22</f>
        <v/>
      </c>
      <c r="I22" s="50" t="n"/>
      <c r="J22" s="68" t="n"/>
      <c r="K22" s="50" t="n"/>
      <c r="L22" s="65" t="n"/>
      <c r="M22" s="70">
        <f>VLOOKUP(L22,'SKU Data'!A:D,4,0)</f>
        <v/>
      </c>
    </row>
    <row r="23" ht="21.75" customFormat="1" customHeight="1" s="71">
      <c r="A23" s="86" t="n"/>
      <c r="B23" s="83" t="n"/>
      <c r="C23" s="50" t="n"/>
      <c r="D23" s="50" t="n"/>
      <c r="E23" s="68">
        <f>VLOOKUP(L23,'SKU Data'!A:B,2,0)</f>
        <v/>
      </c>
      <c r="F23" s="50" t="n"/>
      <c r="G23" s="126">
        <f>VLOOKUP(L23,'SKU Data'!A:C,3,0)</f>
        <v/>
      </c>
      <c r="H23" s="126">
        <f>F23*G23</f>
        <v/>
      </c>
      <c r="I23" s="50" t="n"/>
      <c r="J23" s="68" t="n"/>
      <c r="K23" s="50" t="n"/>
      <c r="L23" s="65" t="n"/>
      <c r="M23" s="70">
        <f>VLOOKUP(L23,'SKU Data'!A:D,4,0)</f>
        <v/>
      </c>
    </row>
    <row r="24" ht="21.75" customFormat="1" customHeight="1" s="71">
      <c r="A24" s="86" t="n"/>
      <c r="B24" s="83" t="n"/>
      <c r="C24" s="50" t="n"/>
      <c r="D24" s="50" t="n"/>
      <c r="E24" s="68">
        <f>VLOOKUP(L24,'SKU Data'!A:B,2,0)</f>
        <v/>
      </c>
      <c r="F24" s="50" t="n"/>
      <c r="G24" s="126">
        <f>VLOOKUP(L24,'SKU Data'!A:C,3,0)</f>
        <v/>
      </c>
      <c r="H24" s="126">
        <f>F24*G24</f>
        <v/>
      </c>
      <c r="I24" s="50" t="n"/>
      <c r="J24" s="68" t="n"/>
      <c r="K24" s="50" t="n"/>
      <c r="L24" s="65" t="n"/>
      <c r="M24" s="70">
        <f>VLOOKUP(L24,'SKU Data'!A:D,4,0)</f>
        <v/>
      </c>
    </row>
    <row r="25" ht="21.75" customFormat="1" customHeight="1" s="71">
      <c r="A25" s="86" t="n"/>
      <c r="B25" s="83" t="n"/>
      <c r="C25" s="50" t="n"/>
      <c r="D25" s="50" t="n"/>
      <c r="E25" s="68">
        <f>VLOOKUP(L25,'SKU Data'!A:B,2,0)</f>
        <v/>
      </c>
      <c r="F25" s="50" t="n"/>
      <c r="G25" s="126">
        <f>VLOOKUP(L25,'SKU Data'!A:C,3,0)</f>
        <v/>
      </c>
      <c r="H25" s="126">
        <f>F25*G25</f>
        <v/>
      </c>
      <c r="I25" s="50" t="n"/>
      <c r="J25" s="68" t="n"/>
      <c r="K25" s="50" t="n"/>
      <c r="L25" s="65" t="n"/>
      <c r="M25" s="70">
        <f>VLOOKUP(L25,'SKU Data'!A:D,4,0)</f>
        <v/>
      </c>
    </row>
    <row r="26" ht="21.75" customFormat="1" customHeight="1" s="71">
      <c r="A26" s="86" t="n"/>
      <c r="B26" s="83" t="n"/>
      <c r="C26" s="50" t="n"/>
      <c r="D26" s="50" t="n"/>
      <c r="E26" s="68">
        <f>VLOOKUP(L26,'SKU Data'!A:B,2,0)</f>
        <v/>
      </c>
      <c r="F26" s="50" t="n"/>
      <c r="G26" s="126">
        <f>VLOOKUP(L26,'SKU Data'!A:C,3,0)</f>
        <v/>
      </c>
      <c r="H26" s="126">
        <f>F26*G26</f>
        <v/>
      </c>
      <c r="I26" s="50" t="n"/>
      <c r="J26" s="68" t="n"/>
      <c r="K26" s="50" t="n"/>
      <c r="L26" s="65" t="n"/>
      <c r="M26" s="70">
        <f>VLOOKUP(L26,'SKU Data'!A:D,4,0)</f>
        <v/>
      </c>
    </row>
    <row r="27" ht="21.75" customFormat="1" customHeight="1" s="71">
      <c r="A27" s="86" t="n"/>
      <c r="B27" s="83" t="n"/>
      <c r="C27" s="50" t="n"/>
      <c r="D27" s="50" t="n"/>
      <c r="E27" s="68">
        <f>VLOOKUP(L27,'SKU Data'!A:B,2,0)</f>
        <v/>
      </c>
      <c r="F27" s="50" t="n"/>
      <c r="G27" s="126">
        <f>VLOOKUP(L27,'SKU Data'!A:C,3,0)</f>
        <v/>
      </c>
      <c r="H27" s="126">
        <f>F27*G27</f>
        <v/>
      </c>
      <c r="I27" s="50" t="n"/>
      <c r="J27" s="68" t="n"/>
      <c r="K27" s="50" t="n"/>
      <c r="L27" s="65" t="n"/>
      <c r="M27" s="70">
        <f>VLOOKUP(L27,'SKU Data'!A:D,4,0)</f>
        <v/>
      </c>
    </row>
    <row r="28" ht="21.75" customFormat="1" customHeight="1" s="71">
      <c r="A28" s="86" t="n"/>
      <c r="B28" s="83" t="n"/>
      <c r="C28" s="50" t="n"/>
      <c r="D28" s="50" t="n"/>
      <c r="E28" s="68">
        <f>VLOOKUP(L28,'SKU Data'!A:B,2,0)</f>
        <v/>
      </c>
      <c r="F28" s="50" t="n"/>
      <c r="G28" s="126">
        <f>VLOOKUP(L28,'SKU Data'!A:C,3,0)</f>
        <v/>
      </c>
      <c r="H28" s="126">
        <f>F28*G28</f>
        <v/>
      </c>
      <c r="I28" s="50" t="n"/>
      <c r="J28" s="68" t="n"/>
      <c r="K28" s="50" t="n"/>
      <c r="L28" s="65" t="n"/>
      <c r="M28" s="70">
        <f>VLOOKUP(L28,'SKU Data'!A:D,4,0)</f>
        <v/>
      </c>
    </row>
    <row r="29" ht="21.75" customFormat="1" customHeight="1" s="71">
      <c r="A29" s="86" t="n"/>
      <c r="B29" s="83" t="n"/>
      <c r="C29" s="50" t="n"/>
      <c r="D29" s="50" t="n"/>
      <c r="E29" s="68">
        <f>VLOOKUP(L29,'SKU Data'!A:B,2,0)</f>
        <v/>
      </c>
      <c r="F29" s="50" t="n"/>
      <c r="G29" s="126">
        <f>VLOOKUP(L29,'SKU Data'!A:C,3,0)</f>
        <v/>
      </c>
      <c r="H29" s="126">
        <f>F29*G29</f>
        <v/>
      </c>
      <c r="I29" s="50" t="n"/>
      <c r="J29" s="68" t="n"/>
      <c r="K29" s="50" t="n"/>
      <c r="L29" s="65" t="n"/>
      <c r="M29" s="70">
        <f>VLOOKUP(L29,'SKU Data'!A:D,4,0)</f>
        <v/>
      </c>
    </row>
    <row r="30" ht="21.75" customFormat="1" customHeight="1" s="71">
      <c r="A30" s="86" t="n"/>
      <c r="B30" s="83" t="n"/>
      <c r="C30" s="50" t="n"/>
      <c r="D30" s="50" t="n"/>
      <c r="E30" s="68">
        <f>VLOOKUP(L30,'SKU Data'!A:B,2,0)</f>
        <v/>
      </c>
      <c r="F30" s="50" t="n"/>
      <c r="G30" s="126">
        <f>VLOOKUP(L30,'SKU Data'!A:C,3,0)</f>
        <v/>
      </c>
      <c r="H30" s="126">
        <f>F30*G30</f>
        <v/>
      </c>
      <c r="I30" s="50" t="n"/>
      <c r="J30" s="68" t="n"/>
      <c r="K30" s="50" t="n"/>
      <c r="L30" s="65" t="n"/>
      <c r="M30" s="70">
        <f>VLOOKUP(L30,'SKU Data'!A:D,4,0)</f>
        <v/>
      </c>
    </row>
    <row r="31" ht="21.75" customFormat="1" customHeight="1" s="71">
      <c r="A31" s="86" t="n"/>
      <c r="B31" s="83" t="n"/>
      <c r="C31" s="50" t="n"/>
      <c r="D31" s="50" t="n"/>
      <c r="E31" s="68">
        <f>VLOOKUP(L31,'SKU Data'!A:B,2,0)</f>
        <v/>
      </c>
      <c r="F31" s="50" t="n"/>
      <c r="G31" s="126">
        <f>VLOOKUP(L31,'SKU Data'!A:C,3,0)</f>
        <v/>
      </c>
      <c r="H31" s="126">
        <f>F31*G31</f>
        <v/>
      </c>
      <c r="I31" s="50" t="n"/>
      <c r="J31" s="68" t="n"/>
      <c r="K31" s="50" t="n"/>
      <c r="L31" s="65" t="n"/>
      <c r="M31" s="70">
        <f>VLOOKUP(L31,'SKU Data'!A:D,4,0)</f>
        <v/>
      </c>
    </row>
    <row r="32" ht="21.75" customFormat="1" customHeight="1" s="71">
      <c r="A32" s="86" t="n"/>
      <c r="B32" s="83" t="n"/>
      <c r="C32" s="50" t="n"/>
      <c r="D32" s="50" t="n"/>
      <c r="E32" s="68">
        <f>VLOOKUP(L32,'SKU Data'!A:B,2,0)</f>
        <v/>
      </c>
      <c r="F32" s="50" t="n"/>
      <c r="G32" s="126">
        <f>VLOOKUP(L32,'SKU Data'!A:C,3,0)</f>
        <v/>
      </c>
      <c r="H32" s="126">
        <f>F32*G32</f>
        <v/>
      </c>
      <c r="I32" s="50" t="n"/>
      <c r="J32" s="68" t="n"/>
      <c r="K32" s="50" t="n"/>
      <c r="L32" s="65" t="n"/>
      <c r="M32" s="70">
        <f>VLOOKUP(L32,'SKU Data'!A:D,4,0)</f>
        <v/>
      </c>
    </row>
    <row r="33" ht="21.75" customFormat="1" customHeight="1" s="71">
      <c r="A33" s="86" t="n"/>
      <c r="B33" s="83" t="n"/>
      <c r="C33" s="50" t="n"/>
      <c r="D33" s="50" t="n"/>
      <c r="E33" s="68">
        <f>VLOOKUP(L33,'SKU Data'!A:B,2,0)</f>
        <v/>
      </c>
      <c r="F33" s="50" t="n"/>
      <c r="G33" s="126">
        <f>VLOOKUP(L33,'SKU Data'!A:C,3,0)</f>
        <v/>
      </c>
      <c r="H33" s="126">
        <f>F33*G33</f>
        <v/>
      </c>
      <c r="I33" s="50" t="n"/>
      <c r="J33" s="68" t="n"/>
      <c r="K33" s="50" t="n"/>
      <c r="L33" s="65" t="n"/>
      <c r="M33" s="70">
        <f>VLOOKUP(L33,'SKU Data'!A:D,4,0)</f>
        <v/>
      </c>
    </row>
    <row r="34" ht="21.75" customFormat="1" customHeight="1" s="71">
      <c r="A34" s="86" t="n"/>
      <c r="B34" s="83" t="n"/>
      <c r="C34" s="50" t="n"/>
      <c r="D34" s="50" t="n"/>
      <c r="E34" s="68">
        <f>VLOOKUP(L34,'SKU Data'!A:B,2,0)</f>
        <v/>
      </c>
      <c r="F34" s="50" t="n"/>
      <c r="G34" s="126">
        <f>VLOOKUP(L34,'SKU Data'!A:C,3,0)</f>
        <v/>
      </c>
      <c r="H34" s="126">
        <f>F34*G34</f>
        <v/>
      </c>
      <c r="I34" s="50" t="n"/>
      <c r="J34" s="68" t="n"/>
      <c r="K34" s="50" t="n"/>
      <c r="L34" s="65" t="n"/>
      <c r="M34" s="70">
        <f>VLOOKUP(L34,'SKU Data'!A:D,4,0)</f>
        <v/>
      </c>
    </row>
    <row r="35" ht="21.75" customFormat="1" customHeight="1" s="71">
      <c r="A35" s="86" t="n"/>
      <c r="B35" s="83" t="n"/>
      <c r="C35" s="50" t="n"/>
      <c r="D35" s="50" t="n"/>
      <c r="E35" s="68">
        <f>VLOOKUP(L35,'SKU Data'!A:B,2,0)</f>
        <v/>
      </c>
      <c r="F35" s="50" t="n"/>
      <c r="G35" s="126">
        <f>VLOOKUP(L35,'SKU Data'!A:C,3,0)</f>
        <v/>
      </c>
      <c r="H35" s="126">
        <f>F35*G35</f>
        <v/>
      </c>
      <c r="I35" s="50" t="n"/>
      <c r="J35" s="68" t="n"/>
      <c r="K35" s="50" t="n"/>
      <c r="L35" s="65" t="n"/>
      <c r="M35" s="70">
        <f>VLOOKUP(L35,'SKU Data'!A:D,4,0)</f>
        <v/>
      </c>
    </row>
    <row r="36" ht="21.75" customFormat="1" customHeight="1" s="71">
      <c r="A36" s="86" t="n"/>
      <c r="B36" s="83" t="n"/>
      <c r="C36" s="50" t="n"/>
      <c r="D36" s="50" t="n"/>
      <c r="E36" s="68">
        <f>VLOOKUP(L36,'SKU Data'!A:B,2,0)</f>
        <v/>
      </c>
      <c r="F36" s="50" t="n"/>
      <c r="G36" s="126">
        <f>VLOOKUP(L36,'SKU Data'!A:C,3,0)</f>
        <v/>
      </c>
      <c r="H36" s="126">
        <f>F36*G36</f>
        <v/>
      </c>
      <c r="I36" s="50" t="n"/>
      <c r="J36" s="68" t="n"/>
      <c r="K36" s="50" t="n"/>
      <c r="L36" s="65" t="n"/>
      <c r="M36" s="70">
        <f>VLOOKUP(L36,'SKU Data'!A:D,4,0)</f>
        <v/>
      </c>
    </row>
    <row r="37" ht="21.75" customFormat="1" customHeight="1" s="71">
      <c r="A37" s="86" t="n"/>
      <c r="B37" s="83" t="n"/>
      <c r="C37" s="50" t="n"/>
      <c r="D37" s="50" t="n"/>
      <c r="E37" s="68">
        <f>VLOOKUP(L37,'SKU Data'!A:B,2,0)</f>
        <v/>
      </c>
      <c r="F37" s="50" t="n"/>
      <c r="G37" s="126">
        <f>VLOOKUP(L37,'SKU Data'!A:C,3,0)</f>
        <v/>
      </c>
      <c r="H37" s="126">
        <f>F37*G37</f>
        <v/>
      </c>
      <c r="I37" s="50" t="n"/>
      <c r="J37" s="68" t="n"/>
      <c r="K37" s="50" t="n"/>
      <c r="L37" s="65" t="n"/>
      <c r="M37" s="70">
        <f>VLOOKUP(L37,'SKU Data'!A:D,4,0)</f>
        <v/>
      </c>
    </row>
    <row r="38" ht="21.75" customFormat="1" customHeight="1" s="71">
      <c r="A38" s="86" t="n"/>
      <c r="B38" s="83" t="n"/>
      <c r="C38" s="50" t="n"/>
      <c r="D38" s="50" t="n"/>
      <c r="E38" s="68">
        <f>VLOOKUP(L38,'SKU Data'!A:B,2,0)</f>
        <v/>
      </c>
      <c r="F38" s="50" t="n"/>
      <c r="G38" s="126">
        <f>VLOOKUP(L38,'SKU Data'!A:C,3,0)</f>
        <v/>
      </c>
      <c r="H38" s="126">
        <f>F38*G38</f>
        <v/>
      </c>
      <c r="I38" s="50" t="n"/>
      <c r="J38" s="68" t="n"/>
      <c r="K38" s="50" t="n"/>
      <c r="L38" s="65" t="n"/>
      <c r="M38" s="70">
        <f>VLOOKUP(L38,'SKU Data'!A:D,4,0)</f>
        <v/>
      </c>
    </row>
    <row r="39" ht="21.75" customFormat="1" customHeight="1" s="71">
      <c r="A39" s="86" t="n"/>
      <c r="B39" s="83" t="n"/>
      <c r="C39" s="50" t="n"/>
      <c r="D39" s="50" t="n"/>
      <c r="E39" s="68">
        <f>VLOOKUP(L39,'SKU Data'!A:B,2,0)</f>
        <v/>
      </c>
      <c r="F39" s="50" t="n"/>
      <c r="G39" s="126">
        <f>VLOOKUP(L39,'SKU Data'!A:C,3,0)</f>
        <v/>
      </c>
      <c r="H39" s="126">
        <f>F39*G39</f>
        <v/>
      </c>
      <c r="I39" s="50" t="n"/>
      <c r="J39" s="68" t="n"/>
      <c r="K39" s="50" t="n"/>
      <c r="L39" s="65" t="n"/>
      <c r="M39" s="70">
        <f>VLOOKUP(L39,'SKU Data'!A:D,4,0)</f>
        <v/>
      </c>
    </row>
    <row r="40" ht="21.75" customFormat="1" customHeight="1" s="71">
      <c r="A40" s="86" t="n"/>
      <c r="B40" s="83" t="n"/>
      <c r="C40" s="50" t="n"/>
      <c r="D40" s="50" t="n"/>
      <c r="E40" s="68">
        <f>VLOOKUP(L40,'SKU Data'!A:B,2,0)</f>
        <v/>
      </c>
      <c r="F40" s="50" t="n"/>
      <c r="G40" s="126">
        <f>VLOOKUP(L40,'SKU Data'!A:C,3,0)</f>
        <v/>
      </c>
      <c r="H40" s="126">
        <f>F40*G40</f>
        <v/>
      </c>
      <c r="I40" s="50" t="n"/>
      <c r="J40" s="68" t="n"/>
      <c r="K40" s="50" t="n"/>
      <c r="L40" s="65" t="n"/>
      <c r="M40" s="70">
        <f>VLOOKUP(L40,'SKU Data'!A:D,4,0)</f>
        <v/>
      </c>
    </row>
    <row r="41" ht="21.75" customFormat="1" customHeight="1" s="71">
      <c r="A41" s="86" t="n"/>
      <c r="B41" s="83" t="n"/>
      <c r="C41" s="50" t="n"/>
      <c r="D41" s="50" t="n"/>
      <c r="E41" s="68">
        <f>VLOOKUP(L41,'SKU Data'!A:B,2,0)</f>
        <v/>
      </c>
      <c r="F41" s="50" t="n"/>
      <c r="G41" s="126">
        <f>VLOOKUP(L41,'SKU Data'!A:C,3,0)</f>
        <v/>
      </c>
      <c r="H41" s="126">
        <f>F41*G41</f>
        <v/>
      </c>
      <c r="I41" s="50" t="n"/>
      <c r="J41" s="68" t="n"/>
      <c r="K41" s="50" t="n"/>
      <c r="L41" s="65" t="n"/>
      <c r="M41" s="70">
        <f>VLOOKUP(L41,'SKU Data'!A:D,4,0)</f>
        <v/>
      </c>
    </row>
    <row r="42" ht="21.75" customFormat="1" customHeight="1" s="71">
      <c r="A42" s="86" t="n"/>
      <c r="B42" s="83" t="n"/>
      <c r="C42" s="50" t="n"/>
      <c r="D42" s="50" t="n"/>
      <c r="E42" s="68">
        <f>VLOOKUP(L42,'SKU Data'!A:B,2,0)</f>
        <v/>
      </c>
      <c r="F42" s="50" t="n"/>
      <c r="G42" s="126">
        <f>VLOOKUP(L42,'SKU Data'!A:C,3,0)</f>
        <v/>
      </c>
      <c r="H42" s="126">
        <f>F42*G42</f>
        <v/>
      </c>
      <c r="I42" s="50" t="n"/>
      <c r="J42" s="68" t="n"/>
      <c r="K42" s="50" t="n"/>
      <c r="L42" s="65" t="n"/>
      <c r="M42" s="70">
        <f>VLOOKUP(L42,'SKU Data'!A:D,4,0)</f>
        <v/>
      </c>
    </row>
    <row r="43" ht="21.75" customFormat="1" customHeight="1" s="71">
      <c r="A43" s="86" t="n"/>
      <c r="B43" s="83" t="n"/>
      <c r="C43" s="50" t="n"/>
      <c r="D43" s="50" t="n"/>
      <c r="E43" s="68">
        <f>VLOOKUP(L43,'SKU Data'!A:B,2,0)</f>
        <v/>
      </c>
      <c r="F43" s="50" t="n"/>
      <c r="G43" s="126">
        <f>VLOOKUP(L43,'SKU Data'!A:C,3,0)</f>
        <v/>
      </c>
      <c r="H43" s="126">
        <f>F43*G43</f>
        <v/>
      </c>
      <c r="I43" s="50" t="n"/>
      <c r="J43" s="68" t="n"/>
      <c r="K43" s="50" t="n"/>
      <c r="L43" s="65" t="n"/>
      <c r="M43" s="70">
        <f>VLOOKUP(L43,'SKU Data'!A:D,4,0)</f>
        <v/>
      </c>
    </row>
    <row r="44" ht="21.75" customFormat="1" customHeight="1" s="71">
      <c r="A44" s="86" t="n"/>
      <c r="B44" s="83" t="n"/>
      <c r="C44" s="50" t="n"/>
      <c r="D44" s="50" t="n"/>
      <c r="E44" s="68">
        <f>VLOOKUP(L44,'SKU Data'!A:B,2,0)</f>
        <v/>
      </c>
      <c r="F44" s="50" t="n"/>
      <c r="G44" s="126">
        <f>VLOOKUP(L44,'SKU Data'!A:C,3,0)</f>
        <v/>
      </c>
      <c r="H44" s="126">
        <f>F44*G44</f>
        <v/>
      </c>
      <c r="I44" s="50" t="n"/>
      <c r="J44" s="68" t="n"/>
      <c r="K44" s="50" t="n"/>
      <c r="L44" s="65" t="n"/>
      <c r="M44" s="70">
        <f>VLOOKUP(L44,'SKU Data'!A:D,4,0)</f>
        <v/>
      </c>
    </row>
    <row r="45" ht="21.75" customFormat="1" customHeight="1" s="71">
      <c r="A45" s="86" t="n"/>
      <c r="B45" s="83" t="n"/>
      <c r="C45" s="50" t="n"/>
      <c r="D45" s="50" t="n"/>
      <c r="E45" s="68">
        <f>VLOOKUP(L45,'SKU Data'!A:B,2,0)</f>
        <v/>
      </c>
      <c r="F45" s="50" t="n"/>
      <c r="G45" s="126">
        <f>VLOOKUP(L45,'SKU Data'!A:C,3,0)</f>
        <v/>
      </c>
      <c r="H45" s="126">
        <f>F45*G45</f>
        <v/>
      </c>
      <c r="I45" s="50" t="n"/>
      <c r="J45" s="68" t="n"/>
      <c r="K45" s="50" t="n"/>
      <c r="L45" s="65" t="n"/>
      <c r="M45" s="70">
        <f>VLOOKUP(L45,'SKU Data'!A:D,4,0)</f>
        <v/>
      </c>
    </row>
    <row r="46" ht="21.75" customFormat="1" customHeight="1" s="71">
      <c r="A46" s="86" t="n"/>
      <c r="B46" s="83" t="n"/>
      <c r="C46" s="50" t="n"/>
      <c r="D46" s="50" t="n"/>
      <c r="E46" s="68">
        <f>VLOOKUP(L46,'SKU Data'!A:B,2,0)</f>
        <v/>
      </c>
      <c r="F46" s="50" t="n"/>
      <c r="G46" s="126">
        <f>VLOOKUP(L46,'SKU Data'!A:C,3,0)</f>
        <v/>
      </c>
      <c r="H46" s="126">
        <f>F46*G46</f>
        <v/>
      </c>
      <c r="I46" s="50" t="n"/>
      <c r="J46" s="68" t="n"/>
      <c r="K46" s="50" t="n"/>
      <c r="L46" s="65" t="n"/>
      <c r="M46" s="70">
        <f>VLOOKUP(L46,'SKU Data'!A:D,4,0)</f>
        <v/>
      </c>
    </row>
    <row r="47" ht="21.75" customFormat="1" customHeight="1" s="71">
      <c r="A47" s="86" t="n"/>
      <c r="B47" s="83" t="n"/>
      <c r="C47" s="50" t="n"/>
      <c r="D47" s="50" t="n"/>
      <c r="E47" s="68">
        <f>VLOOKUP(L47,'SKU Data'!A:B,2,0)</f>
        <v/>
      </c>
      <c r="F47" s="50" t="n"/>
      <c r="G47" s="126">
        <f>VLOOKUP(L47,'SKU Data'!A:C,3,0)</f>
        <v/>
      </c>
      <c r="H47" s="126">
        <f>F47*G47</f>
        <v/>
      </c>
      <c r="I47" s="50" t="n"/>
      <c r="J47" s="68" t="n"/>
      <c r="K47" s="50" t="n"/>
      <c r="L47" s="65" t="n"/>
      <c r="M47" s="70">
        <f>VLOOKUP(L47,'SKU Data'!A:D,4,0)</f>
        <v/>
      </c>
    </row>
    <row r="48" ht="21.75" customFormat="1" customHeight="1" s="71">
      <c r="A48" s="86" t="n"/>
      <c r="B48" s="83" t="n"/>
      <c r="C48" s="50" t="n"/>
      <c r="D48" s="50" t="n"/>
      <c r="E48" s="68">
        <f>VLOOKUP(L48,'SKU Data'!A:B,2,0)</f>
        <v/>
      </c>
      <c r="F48" s="50" t="n"/>
      <c r="G48" s="126">
        <f>VLOOKUP(L48,'SKU Data'!A:C,3,0)</f>
        <v/>
      </c>
      <c r="H48" s="126">
        <f>F48*G48</f>
        <v/>
      </c>
      <c r="I48" s="50" t="n"/>
      <c r="J48" s="68" t="n"/>
      <c r="K48" s="50" t="n"/>
      <c r="L48" s="65" t="n"/>
      <c r="M48" s="70">
        <f>VLOOKUP(L48,'SKU Data'!A:D,4,0)</f>
        <v/>
      </c>
    </row>
    <row r="49" ht="21.75" customFormat="1" customHeight="1" s="71">
      <c r="A49" s="86" t="n"/>
      <c r="B49" s="83" t="n"/>
      <c r="C49" s="50" t="n"/>
      <c r="D49" s="50" t="n"/>
      <c r="E49" s="68">
        <f>VLOOKUP(L49,'SKU Data'!A:B,2,0)</f>
        <v/>
      </c>
      <c r="F49" s="50" t="n"/>
      <c r="G49" s="126">
        <f>VLOOKUP(L49,'SKU Data'!A:C,3,0)</f>
        <v/>
      </c>
      <c r="H49" s="126">
        <f>F49*G49</f>
        <v/>
      </c>
      <c r="I49" s="50" t="n"/>
      <c r="J49" s="68" t="n"/>
      <c r="K49" s="50" t="n"/>
      <c r="L49" s="65" t="n"/>
      <c r="M49" s="70">
        <f>VLOOKUP(L49,'SKU Data'!A:D,4,0)</f>
        <v/>
      </c>
    </row>
    <row r="50" ht="21.75" customFormat="1" customHeight="1" s="71">
      <c r="A50" s="86" t="n"/>
      <c r="B50" s="83" t="n"/>
      <c r="C50" s="50" t="n"/>
      <c r="D50" s="50" t="n"/>
      <c r="E50" s="68">
        <f>VLOOKUP(L50,'SKU Data'!A:B,2,0)</f>
        <v/>
      </c>
      <c r="F50" s="50" t="n"/>
      <c r="G50" s="126">
        <f>VLOOKUP(L50,'SKU Data'!A:C,3,0)</f>
        <v/>
      </c>
      <c r="H50" s="126">
        <f>F50*G50</f>
        <v/>
      </c>
      <c r="I50" s="50" t="n"/>
      <c r="J50" s="68" t="n"/>
      <c r="K50" s="50" t="n"/>
      <c r="L50" s="65" t="n"/>
      <c r="M50" s="70">
        <f>VLOOKUP(L50,'SKU Data'!A:D,4,0)</f>
        <v/>
      </c>
    </row>
    <row r="51" ht="21.75" customFormat="1" customHeight="1" s="71">
      <c r="A51" s="86" t="n"/>
      <c r="B51" s="83" t="n"/>
      <c r="C51" s="50" t="n"/>
      <c r="D51" s="50" t="n"/>
      <c r="E51" s="68">
        <f>VLOOKUP(L51,'SKU Data'!A:B,2,0)</f>
        <v/>
      </c>
      <c r="F51" s="50" t="n"/>
      <c r="G51" s="126">
        <f>VLOOKUP(L51,'SKU Data'!A:C,3,0)</f>
        <v/>
      </c>
      <c r="H51" s="126">
        <f>F51*G51</f>
        <v/>
      </c>
      <c r="I51" s="50" t="n"/>
      <c r="J51" s="68" t="n"/>
      <c r="K51" s="50" t="n"/>
      <c r="L51" s="65" t="n"/>
      <c r="M51" s="70">
        <f>VLOOKUP(L51,'SKU Data'!A:D,4,0)</f>
        <v/>
      </c>
    </row>
    <row r="52" ht="21.75" customFormat="1" customHeight="1" s="71">
      <c r="A52" s="86" t="n"/>
      <c r="B52" s="83" t="n"/>
      <c r="C52" s="50" t="n"/>
      <c r="D52" s="50" t="n"/>
      <c r="E52" s="68">
        <f>VLOOKUP(L52,'SKU Data'!A:B,2,0)</f>
        <v/>
      </c>
      <c r="F52" s="50" t="n"/>
      <c r="G52" s="126">
        <f>VLOOKUP(L52,'SKU Data'!A:C,3,0)</f>
        <v/>
      </c>
      <c r="H52" s="126">
        <f>F52*G52</f>
        <v/>
      </c>
      <c r="I52" s="50" t="n"/>
      <c r="J52" s="68" t="n"/>
      <c r="K52" s="50" t="n"/>
      <c r="L52" s="65" t="n"/>
      <c r="M52" s="70">
        <f>VLOOKUP(L52,'SKU Data'!A:D,4,0)</f>
        <v/>
      </c>
    </row>
    <row r="53" ht="21.75" customFormat="1" customHeight="1" s="71">
      <c r="A53" s="86" t="n"/>
      <c r="B53" s="83" t="n"/>
      <c r="C53" s="50" t="n"/>
      <c r="D53" s="50" t="n"/>
      <c r="E53" s="68">
        <f>VLOOKUP(L53,'SKU Data'!A:B,2,0)</f>
        <v/>
      </c>
      <c r="F53" s="50" t="n"/>
      <c r="G53" s="126">
        <f>VLOOKUP(L53,'SKU Data'!A:C,3,0)</f>
        <v/>
      </c>
      <c r="H53" s="126">
        <f>F53*G53</f>
        <v/>
      </c>
      <c r="I53" s="50" t="n"/>
      <c r="J53" s="68" t="n"/>
      <c r="K53" s="50" t="n"/>
      <c r="L53" s="65" t="n"/>
      <c r="M53" s="70">
        <f>VLOOKUP(L53,'SKU Data'!A:D,4,0)</f>
        <v/>
      </c>
    </row>
    <row r="54" ht="21.75" customFormat="1" customHeight="1" s="71">
      <c r="A54" s="86" t="n"/>
      <c r="B54" s="83" t="n"/>
      <c r="C54" s="50" t="n"/>
      <c r="D54" s="50" t="n"/>
      <c r="E54" s="68">
        <f>VLOOKUP(L54,'SKU Data'!A:B,2,0)</f>
        <v/>
      </c>
      <c r="F54" s="50" t="n"/>
      <c r="G54" s="126">
        <f>VLOOKUP(L54,'SKU Data'!A:C,3,0)</f>
        <v/>
      </c>
      <c r="H54" s="126">
        <f>F54*G54</f>
        <v/>
      </c>
      <c r="I54" s="50" t="n"/>
      <c r="J54" s="68" t="n"/>
      <c r="K54" s="50" t="n"/>
      <c r="L54" s="65" t="n"/>
      <c r="M54" s="70">
        <f>VLOOKUP(L54,'SKU Data'!A:D,4,0)</f>
        <v/>
      </c>
    </row>
    <row r="55" ht="21.75" customFormat="1" customHeight="1" s="71">
      <c r="A55" s="86" t="n"/>
      <c r="B55" s="83" t="n"/>
      <c r="C55" s="50" t="n"/>
      <c r="D55" s="50" t="n"/>
      <c r="E55" s="68">
        <f>VLOOKUP(L55,'SKU Data'!A:B,2,0)</f>
        <v/>
      </c>
      <c r="F55" s="50" t="n"/>
      <c r="G55" s="126">
        <f>VLOOKUP(L55,'SKU Data'!A:C,3,0)</f>
        <v/>
      </c>
      <c r="H55" s="126">
        <f>F55*G55</f>
        <v/>
      </c>
      <c r="I55" s="50" t="n"/>
      <c r="J55" s="68" t="n"/>
      <c r="K55" s="50" t="n"/>
      <c r="L55" s="65" t="n"/>
      <c r="M55" s="70">
        <f>VLOOKUP(L55,'SKU Data'!A:D,4,0)</f>
        <v/>
      </c>
    </row>
    <row r="56" ht="21.75" customFormat="1" customHeight="1" s="71">
      <c r="A56" s="86" t="n"/>
      <c r="B56" s="83" t="n"/>
      <c r="C56" s="50" t="n"/>
      <c r="D56" s="50" t="n"/>
      <c r="E56" s="68">
        <f>VLOOKUP(L56,'SKU Data'!A:B,2,0)</f>
        <v/>
      </c>
      <c r="F56" s="50" t="n"/>
      <c r="G56" s="126">
        <f>VLOOKUP(L56,'SKU Data'!A:C,3,0)</f>
        <v/>
      </c>
      <c r="H56" s="126">
        <f>F56*G56</f>
        <v/>
      </c>
      <c r="I56" s="50" t="n"/>
      <c r="J56" s="68" t="n"/>
      <c r="K56" s="50" t="n"/>
      <c r="L56" s="65" t="n"/>
      <c r="M56" s="70">
        <f>VLOOKUP(L56,'SKU Data'!A:D,4,0)</f>
        <v/>
      </c>
    </row>
    <row r="57" ht="21.75" customFormat="1" customHeight="1" s="71">
      <c r="A57" s="86" t="n"/>
      <c r="B57" s="83" t="n"/>
      <c r="C57" s="50" t="n"/>
      <c r="D57" s="50" t="n"/>
      <c r="E57" s="68">
        <f>VLOOKUP(L57,'SKU Data'!A:B,2,0)</f>
        <v/>
      </c>
      <c r="F57" s="50" t="n"/>
      <c r="G57" s="126">
        <f>VLOOKUP(L57,'SKU Data'!A:C,3,0)</f>
        <v/>
      </c>
      <c r="H57" s="126">
        <f>F57*G57</f>
        <v/>
      </c>
      <c r="I57" s="50" t="n"/>
      <c r="J57" s="68" t="n"/>
      <c r="K57" s="50" t="n"/>
      <c r="L57" s="65" t="n"/>
      <c r="M57" s="70">
        <f>VLOOKUP(L57,'SKU Data'!A:D,4,0)</f>
        <v/>
      </c>
    </row>
    <row r="58" ht="21.75" customFormat="1" customHeight="1" s="71">
      <c r="A58" s="86" t="n"/>
      <c r="B58" s="83" t="n"/>
      <c r="C58" s="50" t="n"/>
      <c r="D58" s="50" t="n"/>
      <c r="E58" s="68">
        <f>VLOOKUP(L58,'SKU Data'!A:B,2,0)</f>
        <v/>
      </c>
      <c r="F58" s="50" t="n"/>
      <c r="G58" s="126">
        <f>VLOOKUP(L58,'SKU Data'!A:C,3,0)</f>
        <v/>
      </c>
      <c r="H58" s="126">
        <f>F58*G58</f>
        <v/>
      </c>
      <c r="I58" s="50" t="n"/>
      <c r="J58" s="68" t="n"/>
      <c r="K58" s="50" t="n"/>
      <c r="L58" s="65" t="n"/>
      <c r="M58" s="70">
        <f>VLOOKUP(L58,'SKU Data'!A:D,4,0)</f>
        <v/>
      </c>
    </row>
    <row r="59" ht="21.75" customFormat="1" customHeight="1" s="71">
      <c r="A59" s="86" t="n"/>
      <c r="B59" s="83" t="n"/>
      <c r="C59" s="50" t="n"/>
      <c r="D59" s="50" t="n"/>
      <c r="E59" s="68">
        <f>VLOOKUP(L59,'SKU Data'!A:B,2,0)</f>
        <v/>
      </c>
      <c r="F59" s="50" t="n"/>
      <c r="G59" s="126">
        <f>VLOOKUP(L59,'SKU Data'!A:C,3,0)</f>
        <v/>
      </c>
      <c r="H59" s="126">
        <f>F59*G59</f>
        <v/>
      </c>
      <c r="I59" s="50" t="n"/>
      <c r="J59" s="68" t="n"/>
      <c r="K59" s="50" t="n"/>
      <c r="L59" s="65" t="n"/>
      <c r="M59" s="70">
        <f>VLOOKUP(L59,'SKU Data'!A:D,4,0)</f>
        <v/>
      </c>
    </row>
    <row r="60" ht="21.75" customFormat="1" customHeight="1" s="71">
      <c r="A60" s="86" t="n"/>
      <c r="B60" s="83" t="n"/>
      <c r="C60" s="50" t="n"/>
      <c r="D60" s="50" t="n"/>
      <c r="E60" s="68">
        <f>VLOOKUP(L60,'SKU Data'!A:B,2,0)</f>
        <v/>
      </c>
      <c r="F60" s="50" t="n"/>
      <c r="G60" s="126">
        <f>VLOOKUP(L60,'SKU Data'!A:C,3,0)</f>
        <v/>
      </c>
      <c r="H60" s="126">
        <f>F60*G60</f>
        <v/>
      </c>
      <c r="I60" s="50" t="n"/>
      <c r="J60" s="68" t="n"/>
      <c r="K60" s="50" t="n"/>
      <c r="L60" s="65" t="n"/>
      <c r="M60" s="70">
        <f>VLOOKUP(L60,'SKU Data'!A:D,4,0)</f>
        <v/>
      </c>
    </row>
    <row r="61" ht="21.75" customFormat="1" customHeight="1" s="71">
      <c r="A61" s="86" t="n"/>
      <c r="B61" s="83" t="n"/>
      <c r="C61" s="50" t="n"/>
      <c r="D61" s="50" t="n"/>
      <c r="E61" s="68">
        <f>VLOOKUP(L61,'SKU Data'!A:B,2,0)</f>
        <v/>
      </c>
      <c r="F61" s="50" t="n"/>
      <c r="G61" s="126">
        <f>VLOOKUP(L61,'SKU Data'!A:C,3,0)</f>
        <v/>
      </c>
      <c r="H61" s="126">
        <f>F61*G61</f>
        <v/>
      </c>
      <c r="I61" s="50" t="n"/>
      <c r="J61" s="68" t="n"/>
      <c r="K61" s="50" t="n"/>
      <c r="L61" s="65" t="n"/>
      <c r="M61" s="70">
        <f>VLOOKUP(L61,'SKU Data'!A:D,4,0)</f>
        <v/>
      </c>
    </row>
    <row r="62" ht="21.75" customFormat="1" customHeight="1" s="71">
      <c r="A62" s="86" t="n"/>
      <c r="B62" s="83" t="n"/>
      <c r="C62" s="50" t="n"/>
      <c r="D62" s="50" t="n"/>
      <c r="E62" s="68">
        <f>VLOOKUP(L62,'SKU Data'!A:B,2,0)</f>
        <v/>
      </c>
      <c r="F62" s="50" t="n"/>
      <c r="G62" s="126">
        <f>VLOOKUP(L62,'SKU Data'!A:C,3,0)</f>
        <v/>
      </c>
      <c r="H62" s="126">
        <f>F62*G62</f>
        <v/>
      </c>
      <c r="I62" s="50" t="n"/>
      <c r="J62" s="68" t="n"/>
      <c r="K62" s="50" t="n"/>
      <c r="L62" s="65" t="n"/>
      <c r="M62" s="70">
        <f>VLOOKUP(L62,'SKU Data'!A:D,4,0)</f>
        <v/>
      </c>
    </row>
    <row r="63" ht="21.75" customFormat="1" customHeight="1" s="71">
      <c r="A63" s="86" t="n"/>
      <c r="B63" s="83" t="n"/>
      <c r="C63" s="50" t="n"/>
      <c r="D63" s="50" t="n"/>
      <c r="E63" s="68">
        <f>VLOOKUP(L63,'SKU Data'!A:B,2,0)</f>
        <v/>
      </c>
      <c r="F63" s="50" t="n"/>
      <c r="G63" s="126">
        <f>VLOOKUP(L63,'SKU Data'!A:C,3,0)</f>
        <v/>
      </c>
      <c r="H63" s="126">
        <f>F63*G63</f>
        <v/>
      </c>
      <c r="I63" s="50" t="n"/>
      <c r="J63" s="68" t="n"/>
      <c r="K63" s="50" t="n"/>
      <c r="L63" s="65" t="n"/>
      <c r="M63" s="70">
        <f>VLOOKUP(L63,'SKU Data'!A:D,4,0)</f>
        <v/>
      </c>
    </row>
    <row r="64" ht="21.75" customFormat="1" customHeight="1" s="71">
      <c r="A64" s="86" t="n"/>
      <c r="B64" s="83" t="n"/>
      <c r="C64" s="50" t="n"/>
      <c r="D64" s="50" t="n"/>
      <c r="E64" s="68">
        <f>VLOOKUP(L64,'SKU Data'!A:B,2,0)</f>
        <v/>
      </c>
      <c r="F64" s="50" t="n"/>
      <c r="G64" s="126">
        <f>VLOOKUP(L64,'SKU Data'!A:C,3,0)</f>
        <v/>
      </c>
      <c r="H64" s="126">
        <f>F64*G64</f>
        <v/>
      </c>
      <c r="I64" s="50" t="n"/>
      <c r="J64" s="68" t="n"/>
      <c r="K64" s="50" t="n"/>
      <c r="L64" s="65" t="n"/>
      <c r="M64" s="70">
        <f>VLOOKUP(L64,'SKU Data'!A:D,4,0)</f>
        <v/>
      </c>
    </row>
    <row r="65" ht="21.75" customFormat="1" customHeight="1" s="71">
      <c r="A65" s="86" t="n"/>
      <c r="B65" s="83" t="n"/>
      <c r="C65" s="50" t="n"/>
      <c r="D65" s="50" t="n"/>
      <c r="E65" s="68">
        <f>VLOOKUP(L65,'SKU Data'!A:B,2,0)</f>
        <v/>
      </c>
      <c r="F65" s="50" t="n"/>
      <c r="G65" s="126">
        <f>VLOOKUP(L65,'SKU Data'!A:C,3,0)</f>
        <v/>
      </c>
      <c r="H65" s="126">
        <f>F65*G65</f>
        <v/>
      </c>
      <c r="I65" s="50" t="n"/>
      <c r="J65" s="68" t="n"/>
      <c r="K65" s="50" t="n"/>
      <c r="L65" s="65" t="n"/>
      <c r="M65" s="70">
        <f>VLOOKUP(L65,'SKU Data'!A:D,4,0)</f>
        <v/>
      </c>
    </row>
    <row r="66" ht="21.75" customFormat="1" customHeight="1" s="71">
      <c r="A66" s="86" t="n"/>
      <c r="B66" s="83" t="n"/>
      <c r="C66" s="50" t="n"/>
      <c r="D66" s="50" t="n"/>
      <c r="E66" s="68">
        <f>VLOOKUP(L66,'SKU Data'!A:B,2,0)</f>
        <v/>
      </c>
      <c r="F66" s="50" t="n"/>
      <c r="G66" s="126">
        <f>VLOOKUP(L66,'SKU Data'!A:C,3,0)</f>
        <v/>
      </c>
      <c r="H66" s="126">
        <f>F66*G66</f>
        <v/>
      </c>
      <c r="I66" s="50" t="n"/>
      <c r="J66" s="68" t="n"/>
      <c r="K66" s="50" t="n"/>
      <c r="L66" s="65" t="n"/>
      <c r="M66" s="70">
        <f>VLOOKUP(L66,'SKU Data'!A:D,4,0)</f>
        <v/>
      </c>
    </row>
    <row r="67" ht="21.75" customFormat="1" customHeight="1" s="71">
      <c r="A67" s="86" t="n"/>
      <c r="B67" s="83" t="n"/>
      <c r="C67" s="50" t="n"/>
      <c r="D67" s="50" t="n"/>
      <c r="E67" s="68">
        <f>VLOOKUP(L67,'SKU Data'!A:B,2,0)</f>
        <v/>
      </c>
      <c r="F67" s="50" t="n"/>
      <c r="G67" s="126">
        <f>VLOOKUP(L67,'SKU Data'!A:C,3,0)</f>
        <v/>
      </c>
      <c r="H67" s="126">
        <f>F67*G67</f>
        <v/>
      </c>
      <c r="I67" s="50" t="n"/>
      <c r="J67" s="68" t="n"/>
      <c r="K67" s="50" t="n"/>
      <c r="L67" s="65" t="n"/>
      <c r="M67" s="70">
        <f>VLOOKUP(L67,'SKU Data'!A:D,4,0)</f>
        <v/>
      </c>
    </row>
    <row r="68" ht="21.75" customFormat="1" customHeight="1" s="71">
      <c r="A68" s="86" t="n"/>
      <c r="B68" s="83" t="n"/>
      <c r="C68" s="50" t="n"/>
      <c r="D68" s="50" t="n"/>
      <c r="E68" s="68">
        <f>VLOOKUP(L68,'SKU Data'!A:B,2,0)</f>
        <v/>
      </c>
      <c r="F68" s="50" t="n"/>
      <c r="G68" s="126">
        <f>VLOOKUP(L68,'SKU Data'!A:C,3,0)</f>
        <v/>
      </c>
      <c r="H68" s="126">
        <f>F68*G68</f>
        <v/>
      </c>
      <c r="I68" s="50" t="n"/>
      <c r="J68" s="68" t="n"/>
      <c r="K68" s="50" t="n"/>
      <c r="L68" s="65" t="n"/>
      <c r="M68" s="70">
        <f>VLOOKUP(L68,'SKU Data'!A:D,4,0)</f>
        <v/>
      </c>
    </row>
    <row r="69" ht="21.75" customFormat="1" customHeight="1" s="71">
      <c r="A69" s="86" t="n"/>
      <c r="B69" s="83" t="n"/>
      <c r="C69" s="50" t="n"/>
      <c r="D69" s="50" t="n"/>
      <c r="E69" s="68">
        <f>VLOOKUP(L69,'SKU Data'!A:B,2,0)</f>
        <v/>
      </c>
      <c r="F69" s="50" t="n"/>
      <c r="G69" s="126">
        <f>VLOOKUP(L69,'SKU Data'!A:C,3,0)</f>
        <v/>
      </c>
      <c r="H69" s="126">
        <f>F69*G69</f>
        <v/>
      </c>
      <c r="I69" s="50" t="n"/>
      <c r="J69" s="68" t="n"/>
      <c r="K69" s="50" t="n"/>
      <c r="L69" s="65" t="n"/>
      <c r="M69" s="70">
        <f>VLOOKUP(L69,'SKU Data'!A:D,4,0)</f>
        <v/>
      </c>
    </row>
    <row r="70" ht="21.75" customFormat="1" customHeight="1" s="71">
      <c r="A70" s="86" t="n"/>
      <c r="B70" s="83" t="n"/>
      <c r="C70" s="50" t="n"/>
      <c r="D70" s="50" t="n"/>
      <c r="E70" s="68">
        <f>VLOOKUP(L70,'SKU Data'!A:B,2,0)</f>
        <v/>
      </c>
      <c r="F70" s="50" t="n"/>
      <c r="G70" s="126">
        <f>VLOOKUP(L70,'SKU Data'!A:C,3,0)</f>
        <v/>
      </c>
      <c r="H70" s="126">
        <f>F70*G70</f>
        <v/>
      </c>
      <c r="I70" s="50" t="n"/>
      <c r="J70" s="68" t="n"/>
      <c r="K70" s="50" t="n"/>
      <c r="L70" s="65" t="n"/>
      <c r="M70" s="70">
        <f>VLOOKUP(L70,'SKU Data'!A:D,4,0)</f>
        <v/>
      </c>
    </row>
    <row r="71" ht="21.75" customFormat="1" customHeight="1" s="71">
      <c r="A71" s="86" t="n"/>
      <c r="B71" s="83" t="n"/>
      <c r="C71" s="50" t="n"/>
      <c r="D71" s="50" t="n"/>
      <c r="E71" s="68">
        <f>VLOOKUP(L71,'SKU Data'!A:B,2,0)</f>
        <v/>
      </c>
      <c r="F71" s="50" t="n"/>
      <c r="G71" s="126">
        <f>VLOOKUP(L71,'SKU Data'!A:C,3,0)</f>
        <v/>
      </c>
      <c r="H71" s="126">
        <f>F71*G71</f>
        <v/>
      </c>
      <c r="I71" s="50" t="n"/>
      <c r="J71" s="68" t="n"/>
      <c r="K71" s="50" t="n"/>
      <c r="L71" s="65" t="n"/>
      <c r="M71" s="70">
        <f>VLOOKUP(L71,'SKU Data'!A:D,4,0)</f>
        <v/>
      </c>
    </row>
    <row r="72" ht="21.75" customFormat="1" customHeight="1" s="71">
      <c r="A72" s="86" t="n"/>
      <c r="B72" s="83" t="n"/>
      <c r="C72" s="50" t="n"/>
      <c r="D72" s="50" t="n"/>
      <c r="E72" s="68">
        <f>VLOOKUP(L72,'SKU Data'!A:B,2,0)</f>
        <v/>
      </c>
      <c r="F72" s="50" t="n"/>
      <c r="G72" s="126">
        <f>VLOOKUP(L72,'SKU Data'!A:C,3,0)</f>
        <v/>
      </c>
      <c r="H72" s="126">
        <f>F72*G72</f>
        <v/>
      </c>
      <c r="I72" s="50" t="n"/>
      <c r="J72" s="68" t="n"/>
      <c r="K72" s="50" t="n"/>
      <c r="L72" s="65" t="n"/>
      <c r="M72" s="70">
        <f>VLOOKUP(L72,'SKU Data'!A:D,4,0)</f>
        <v/>
      </c>
    </row>
    <row r="73" ht="21.75" customFormat="1" customHeight="1" s="71">
      <c r="A73" s="86" t="n"/>
      <c r="B73" s="83" t="n"/>
      <c r="C73" s="50" t="n"/>
      <c r="D73" s="50" t="n"/>
      <c r="E73" s="68">
        <f>VLOOKUP(L73,'SKU Data'!A:B,2,0)</f>
        <v/>
      </c>
      <c r="F73" s="50" t="n"/>
      <c r="G73" s="126">
        <f>VLOOKUP(L73,'SKU Data'!A:C,3,0)</f>
        <v/>
      </c>
      <c r="H73" s="126">
        <f>F73*G73</f>
        <v/>
      </c>
      <c r="I73" s="50" t="n"/>
      <c r="J73" s="68" t="n"/>
      <c r="K73" s="50" t="n"/>
      <c r="L73" s="65" t="n"/>
      <c r="M73" s="70">
        <f>VLOOKUP(L73,'SKU Data'!A:D,4,0)</f>
        <v/>
      </c>
    </row>
    <row r="74" ht="21.75" customFormat="1" customHeight="1" s="71">
      <c r="A74" s="86" t="n"/>
      <c r="B74" s="83" t="n"/>
      <c r="C74" s="50" t="n"/>
      <c r="D74" s="50" t="n"/>
      <c r="E74" s="68">
        <f>VLOOKUP(L74,'SKU Data'!A:B,2,0)</f>
        <v/>
      </c>
      <c r="F74" s="50" t="n"/>
      <c r="G74" s="126">
        <f>VLOOKUP(L74,'SKU Data'!A:C,3,0)</f>
        <v/>
      </c>
      <c r="H74" s="126">
        <f>F74*G74</f>
        <v/>
      </c>
      <c r="I74" s="50" t="n"/>
      <c r="J74" s="68" t="n"/>
      <c r="K74" s="50" t="n"/>
      <c r="L74" s="65" t="n"/>
      <c r="M74" s="70">
        <f>VLOOKUP(L74,'SKU Data'!A:D,4,0)</f>
        <v/>
      </c>
    </row>
    <row r="75" ht="21.75" customFormat="1" customHeight="1" s="71">
      <c r="A75" s="86" t="n"/>
      <c r="B75" s="83" t="n"/>
      <c r="C75" s="50" t="n"/>
      <c r="D75" s="50" t="n"/>
      <c r="E75" s="68">
        <f>VLOOKUP(L75,'SKU Data'!A:B,2,0)</f>
        <v/>
      </c>
      <c r="F75" s="50" t="n"/>
      <c r="G75" s="126">
        <f>VLOOKUP(L75,'SKU Data'!A:C,3,0)</f>
        <v/>
      </c>
      <c r="H75" s="126">
        <f>F75*G75</f>
        <v/>
      </c>
      <c r="I75" s="50" t="n"/>
      <c r="J75" s="68" t="n"/>
      <c r="K75" s="50" t="n"/>
      <c r="L75" s="65" t="n"/>
      <c r="M75" s="70">
        <f>VLOOKUP(L75,'SKU Data'!A:D,4,0)</f>
        <v/>
      </c>
    </row>
    <row r="76" ht="21.75" customFormat="1" customHeight="1" s="71">
      <c r="A76" s="86" t="n"/>
      <c r="B76" s="83" t="n"/>
      <c r="C76" s="50" t="n"/>
      <c r="D76" s="50" t="n"/>
      <c r="E76" s="68">
        <f>VLOOKUP(L76,'SKU Data'!A:B,2,0)</f>
        <v/>
      </c>
      <c r="F76" s="50" t="n"/>
      <c r="G76" s="126">
        <f>VLOOKUP(L76,'SKU Data'!A:C,3,0)</f>
        <v/>
      </c>
      <c r="H76" s="126">
        <f>F76*G76</f>
        <v/>
      </c>
      <c r="I76" s="50" t="n"/>
      <c r="J76" s="68" t="n"/>
      <c r="K76" s="50" t="n"/>
      <c r="L76" s="65" t="n"/>
      <c r="M76" s="70">
        <f>VLOOKUP(L76,'SKU Data'!A:D,4,0)</f>
        <v/>
      </c>
    </row>
    <row r="77" ht="21.75" customFormat="1" customHeight="1" s="71">
      <c r="A77" s="86" t="n"/>
      <c r="B77" s="83" t="n"/>
      <c r="C77" s="50" t="n"/>
      <c r="D77" s="50" t="n"/>
      <c r="E77" s="68">
        <f>VLOOKUP(L77,'SKU Data'!A:B,2,0)</f>
        <v/>
      </c>
      <c r="F77" s="50" t="n"/>
      <c r="G77" s="126">
        <f>VLOOKUP(L77,'SKU Data'!A:C,3,0)</f>
        <v/>
      </c>
      <c r="H77" s="126">
        <f>F77*G77</f>
        <v/>
      </c>
      <c r="I77" s="50" t="n"/>
      <c r="J77" s="68" t="n"/>
      <c r="K77" s="50" t="n"/>
      <c r="L77" s="65" t="n"/>
      <c r="M77" s="70">
        <f>VLOOKUP(L77,'SKU Data'!A:D,4,0)</f>
        <v/>
      </c>
    </row>
    <row r="78" ht="21.75" customFormat="1" customHeight="1" s="71">
      <c r="A78" s="86" t="n"/>
      <c r="B78" s="83" t="n"/>
      <c r="C78" s="50" t="n"/>
      <c r="D78" s="50" t="n"/>
      <c r="E78" s="68">
        <f>VLOOKUP(L78,'SKU Data'!A:B,2,0)</f>
        <v/>
      </c>
      <c r="F78" s="50" t="n"/>
      <c r="G78" s="126">
        <f>VLOOKUP(L78,'SKU Data'!A:C,3,0)</f>
        <v/>
      </c>
      <c r="H78" s="126">
        <f>F78*G78</f>
        <v/>
      </c>
      <c r="I78" s="50" t="n"/>
      <c r="J78" s="68" t="n"/>
      <c r="K78" s="50" t="n"/>
      <c r="L78" s="65" t="n"/>
      <c r="M78" s="70">
        <f>VLOOKUP(L78,'SKU Data'!A:D,4,0)</f>
        <v/>
      </c>
    </row>
    <row r="79" ht="21.75" customFormat="1" customHeight="1" s="71">
      <c r="A79" s="86" t="n"/>
      <c r="B79" s="83" t="n"/>
      <c r="C79" s="50" t="n"/>
      <c r="D79" s="50" t="n"/>
      <c r="E79" s="68">
        <f>VLOOKUP(L79,'SKU Data'!A:B,2,0)</f>
        <v/>
      </c>
      <c r="F79" s="50" t="n"/>
      <c r="G79" s="126">
        <f>VLOOKUP(L79,'SKU Data'!A:C,3,0)</f>
        <v/>
      </c>
      <c r="H79" s="126">
        <f>F79*G79</f>
        <v/>
      </c>
      <c r="I79" s="50" t="n"/>
      <c r="J79" s="68" t="n"/>
      <c r="K79" s="50" t="n"/>
      <c r="L79" s="65" t="n"/>
      <c r="M79" s="70">
        <f>VLOOKUP(L79,'SKU Data'!A:D,4,0)</f>
        <v/>
      </c>
    </row>
    <row r="80" ht="21.75" customFormat="1" customHeight="1" s="71">
      <c r="A80" s="86" t="n"/>
      <c r="B80" s="83" t="n"/>
      <c r="C80" s="50" t="n"/>
      <c r="D80" s="50" t="n"/>
      <c r="E80" s="68">
        <f>VLOOKUP(L80,'SKU Data'!A:B,2,0)</f>
        <v/>
      </c>
      <c r="F80" s="50" t="n"/>
      <c r="G80" s="126">
        <f>VLOOKUP(L80,'SKU Data'!A:C,3,0)</f>
        <v/>
      </c>
      <c r="H80" s="126">
        <f>F80*G80</f>
        <v/>
      </c>
      <c r="I80" s="50" t="n"/>
      <c r="J80" s="68" t="n"/>
      <c r="K80" s="50" t="n"/>
      <c r="L80" s="65" t="n"/>
      <c r="M80" s="70">
        <f>VLOOKUP(L80,'SKU Data'!A:D,4,0)</f>
        <v/>
      </c>
    </row>
    <row r="81" ht="21.75" customFormat="1" customHeight="1" s="71">
      <c r="A81" s="86" t="n"/>
      <c r="B81" s="83" t="n"/>
      <c r="C81" s="50" t="n"/>
      <c r="D81" s="50" t="n"/>
      <c r="E81" s="68">
        <f>VLOOKUP(L81,'SKU Data'!A:B,2,0)</f>
        <v/>
      </c>
      <c r="F81" s="50" t="n"/>
      <c r="G81" s="126">
        <f>VLOOKUP(L81,'SKU Data'!A:C,3,0)</f>
        <v/>
      </c>
      <c r="H81" s="126">
        <f>F81*G81</f>
        <v/>
      </c>
      <c r="I81" s="50" t="n"/>
      <c r="J81" s="68" t="n"/>
      <c r="K81" s="50" t="n"/>
      <c r="L81" s="65" t="n"/>
      <c r="M81" s="70">
        <f>VLOOKUP(L81,'SKU Data'!A:D,4,0)</f>
        <v/>
      </c>
    </row>
    <row r="82" ht="21.75" customFormat="1" customHeight="1" s="71">
      <c r="A82" s="86" t="n"/>
      <c r="B82" s="83" t="n"/>
      <c r="C82" s="50" t="n"/>
      <c r="D82" s="50" t="n"/>
      <c r="E82" s="68">
        <f>VLOOKUP(L82,'SKU Data'!A:B,2,0)</f>
        <v/>
      </c>
      <c r="F82" s="50" t="n"/>
      <c r="G82" s="126">
        <f>VLOOKUP(L82,'SKU Data'!A:C,3,0)</f>
        <v/>
      </c>
      <c r="H82" s="126">
        <f>F82*G82</f>
        <v/>
      </c>
      <c r="I82" s="50" t="n"/>
      <c r="J82" s="68" t="n"/>
      <c r="K82" s="50" t="n"/>
      <c r="L82" s="65" t="n"/>
      <c r="M82" s="70">
        <f>VLOOKUP(L82,'SKU Data'!A:D,4,0)</f>
        <v/>
      </c>
    </row>
    <row r="83" ht="21.75" customFormat="1" customHeight="1" s="71">
      <c r="A83" s="86" t="n"/>
      <c r="B83" s="83" t="n"/>
      <c r="C83" s="50" t="n"/>
      <c r="D83" s="50" t="n"/>
      <c r="E83" s="68">
        <f>VLOOKUP(L83,'SKU Data'!A:B,2,0)</f>
        <v/>
      </c>
      <c r="F83" s="50" t="n"/>
      <c r="G83" s="126">
        <f>VLOOKUP(L83,'SKU Data'!A:C,3,0)</f>
        <v/>
      </c>
      <c r="H83" s="126">
        <f>F83*G83</f>
        <v/>
      </c>
      <c r="I83" s="50" t="n"/>
      <c r="J83" s="68" t="n"/>
      <c r="K83" s="50" t="n"/>
      <c r="L83" s="65" t="n"/>
      <c r="M83" s="70">
        <f>VLOOKUP(L83,'SKU Data'!A:D,4,0)</f>
        <v/>
      </c>
    </row>
    <row r="84" ht="21.75" customFormat="1" customHeight="1" s="71">
      <c r="A84" s="86" t="n"/>
      <c r="B84" s="83" t="n"/>
      <c r="C84" s="50" t="n"/>
      <c r="D84" s="50" t="n"/>
      <c r="E84" s="68">
        <f>VLOOKUP(L84,'SKU Data'!A:B,2,0)</f>
        <v/>
      </c>
      <c r="F84" s="50" t="n"/>
      <c r="G84" s="126">
        <f>VLOOKUP(L84,'SKU Data'!A:C,3,0)</f>
        <v/>
      </c>
      <c r="H84" s="126">
        <f>F84*G84</f>
        <v/>
      </c>
      <c r="I84" s="50" t="n"/>
      <c r="J84" s="68" t="n"/>
      <c r="K84" s="50" t="n"/>
      <c r="L84" s="65" t="n"/>
      <c r="M84" s="70">
        <f>VLOOKUP(L84,'SKU Data'!A:D,4,0)</f>
        <v/>
      </c>
    </row>
    <row r="85" ht="21.75" customFormat="1" customHeight="1" s="71">
      <c r="A85" s="86" t="n"/>
      <c r="B85" s="83" t="n"/>
      <c r="C85" s="50" t="n"/>
      <c r="D85" s="50" t="n"/>
      <c r="E85" s="68">
        <f>VLOOKUP(L85,'SKU Data'!A:B,2,0)</f>
        <v/>
      </c>
      <c r="F85" s="50" t="n"/>
      <c r="G85" s="126">
        <f>VLOOKUP(L85,'SKU Data'!A:C,3,0)</f>
        <v/>
      </c>
      <c r="H85" s="126">
        <f>F85*G85</f>
        <v/>
      </c>
      <c r="I85" s="50" t="n"/>
      <c r="J85" s="68" t="n"/>
      <c r="K85" s="50" t="n"/>
      <c r="L85" s="65" t="n"/>
      <c r="M85" s="70">
        <f>VLOOKUP(L85,'SKU Data'!A:D,4,0)</f>
        <v/>
      </c>
    </row>
    <row r="86" ht="21.75" customFormat="1" customHeight="1" s="71">
      <c r="A86" s="86" t="n"/>
      <c r="B86" s="83" t="n"/>
      <c r="C86" s="50" t="n"/>
      <c r="D86" s="50" t="n"/>
      <c r="E86" s="68">
        <f>VLOOKUP(L86,'SKU Data'!A:B,2,0)</f>
        <v/>
      </c>
      <c r="F86" s="50" t="n"/>
      <c r="G86" s="126">
        <f>VLOOKUP(L86,'SKU Data'!A:C,3,0)</f>
        <v/>
      </c>
      <c r="H86" s="126">
        <f>F86*G86</f>
        <v/>
      </c>
      <c r="I86" s="50" t="n"/>
      <c r="J86" s="68" t="n"/>
      <c r="K86" s="50" t="n"/>
      <c r="L86" s="65" t="n"/>
      <c r="M86" s="70">
        <f>VLOOKUP(L86,'SKU Data'!A:D,4,0)</f>
        <v/>
      </c>
    </row>
    <row r="87" ht="21.75" customFormat="1" customHeight="1" s="71">
      <c r="A87" s="86" t="n"/>
      <c r="B87" s="83" t="n"/>
      <c r="C87" s="50" t="n"/>
      <c r="D87" s="50" t="n"/>
      <c r="E87" s="68">
        <f>VLOOKUP(L87,'SKU Data'!A:B,2,0)</f>
        <v/>
      </c>
      <c r="F87" s="50" t="n"/>
      <c r="G87" s="126">
        <f>VLOOKUP(L87,'SKU Data'!A:C,3,0)</f>
        <v/>
      </c>
      <c r="H87" s="126">
        <f>F87*G87</f>
        <v/>
      </c>
      <c r="I87" s="50" t="n"/>
      <c r="J87" s="68" t="n"/>
      <c r="K87" s="50" t="n"/>
      <c r="L87" s="65" t="n"/>
      <c r="M87" s="70">
        <f>VLOOKUP(L87,'SKU Data'!A:D,4,0)</f>
        <v/>
      </c>
    </row>
    <row r="88" ht="21.75" customFormat="1" customHeight="1" s="71">
      <c r="A88" s="86" t="n"/>
      <c r="B88" s="83" t="n"/>
      <c r="C88" s="50" t="n"/>
      <c r="D88" s="50" t="n"/>
      <c r="E88" s="68">
        <f>VLOOKUP(L88,'SKU Data'!A:B,2,0)</f>
        <v/>
      </c>
      <c r="F88" s="50" t="n"/>
      <c r="G88" s="126">
        <f>VLOOKUP(L88,'SKU Data'!A:C,3,0)</f>
        <v/>
      </c>
      <c r="H88" s="126">
        <f>F88*G88</f>
        <v/>
      </c>
      <c r="I88" s="50" t="n"/>
      <c r="J88" s="68" t="n"/>
      <c r="K88" s="50" t="n"/>
      <c r="L88" s="65" t="n"/>
      <c r="M88" s="70">
        <f>VLOOKUP(L88,'SKU Data'!A:D,4,0)</f>
        <v/>
      </c>
    </row>
    <row r="89" ht="21.75" customFormat="1" customHeight="1" s="71">
      <c r="A89" s="86" t="n"/>
      <c r="B89" s="83" t="n"/>
      <c r="C89" s="50" t="n"/>
      <c r="D89" s="50" t="n"/>
      <c r="E89" s="68">
        <f>VLOOKUP(L89,'SKU Data'!A:B,2,0)</f>
        <v/>
      </c>
      <c r="F89" s="50" t="n"/>
      <c r="G89" s="126">
        <f>VLOOKUP(L89,'SKU Data'!A:C,3,0)</f>
        <v/>
      </c>
      <c r="H89" s="126">
        <f>F89*G89</f>
        <v/>
      </c>
      <c r="I89" s="50" t="n"/>
      <c r="J89" s="68" t="n"/>
      <c r="K89" s="50" t="n"/>
      <c r="L89" s="65" t="n"/>
      <c r="M89" s="70">
        <f>VLOOKUP(L89,'SKU Data'!A:D,4,0)</f>
        <v/>
      </c>
    </row>
    <row r="90" ht="21.75" customFormat="1" customHeight="1" s="71">
      <c r="A90" s="86" t="n"/>
      <c r="B90" s="83" t="n"/>
      <c r="C90" s="50" t="n"/>
      <c r="D90" s="50" t="n"/>
      <c r="E90" s="68">
        <f>VLOOKUP(L90,'SKU Data'!A:B,2,0)</f>
        <v/>
      </c>
      <c r="F90" s="50" t="n"/>
      <c r="G90" s="126">
        <f>VLOOKUP(L90,'SKU Data'!A:C,3,0)</f>
        <v/>
      </c>
      <c r="H90" s="126">
        <f>F90*G90</f>
        <v/>
      </c>
      <c r="I90" s="50" t="n"/>
      <c r="J90" s="68" t="n"/>
      <c r="K90" s="50" t="n"/>
      <c r="L90" s="65" t="n"/>
      <c r="M90" s="70">
        <f>VLOOKUP(L90,'SKU Data'!A:D,4,0)</f>
        <v/>
      </c>
    </row>
    <row r="91" ht="21.75" customFormat="1" customHeight="1" s="71">
      <c r="A91" s="86" t="n"/>
      <c r="B91" s="83" t="n"/>
      <c r="C91" s="50" t="n"/>
      <c r="D91" s="50" t="n"/>
      <c r="E91" s="68">
        <f>VLOOKUP(L91,'SKU Data'!A:B,2,0)</f>
        <v/>
      </c>
      <c r="F91" s="50" t="n"/>
      <c r="G91" s="126">
        <f>VLOOKUP(L91,'SKU Data'!A:C,3,0)</f>
        <v/>
      </c>
      <c r="H91" s="126">
        <f>F91*G91</f>
        <v/>
      </c>
      <c r="I91" s="50" t="n"/>
      <c r="J91" s="68" t="n"/>
      <c r="K91" s="50" t="n"/>
      <c r="L91" s="65" t="n"/>
      <c r="M91" s="70">
        <f>VLOOKUP(L91,'SKU Data'!A:D,4,0)</f>
        <v/>
      </c>
    </row>
    <row r="92" ht="21.75" customFormat="1" customHeight="1" s="71">
      <c r="A92" s="86" t="n"/>
      <c r="B92" s="83" t="n"/>
      <c r="C92" s="50" t="n"/>
      <c r="D92" s="50" t="n"/>
      <c r="E92" s="68">
        <f>VLOOKUP(L92,'SKU Data'!A:B,2,0)</f>
        <v/>
      </c>
      <c r="F92" s="50" t="n"/>
      <c r="G92" s="126">
        <f>VLOOKUP(L92,'SKU Data'!A:C,3,0)</f>
        <v/>
      </c>
      <c r="H92" s="126">
        <f>F92*G92</f>
        <v/>
      </c>
      <c r="I92" s="50" t="n"/>
      <c r="J92" s="68" t="n"/>
      <c r="K92" s="50" t="n"/>
      <c r="L92" s="65" t="n"/>
      <c r="M92" s="70">
        <f>VLOOKUP(L92,'SKU Data'!A:D,4,0)</f>
        <v/>
      </c>
    </row>
    <row r="93" ht="21.75" customFormat="1" customHeight="1" s="71">
      <c r="A93" s="86" t="n"/>
      <c r="B93" s="83" t="n"/>
      <c r="C93" s="50" t="n"/>
      <c r="D93" s="50" t="n"/>
      <c r="E93" s="68">
        <f>VLOOKUP(L93,'SKU Data'!A:B,2,0)</f>
        <v/>
      </c>
      <c r="F93" s="50" t="n"/>
      <c r="G93" s="126">
        <f>VLOOKUP(L93,'SKU Data'!A:C,3,0)</f>
        <v/>
      </c>
      <c r="H93" s="126">
        <f>F93*G93</f>
        <v/>
      </c>
      <c r="I93" s="50" t="n"/>
      <c r="J93" s="68" t="n"/>
      <c r="K93" s="50" t="n"/>
      <c r="L93" s="65" t="n"/>
      <c r="M93" s="70">
        <f>VLOOKUP(L93,'SKU Data'!A:D,4,0)</f>
        <v/>
      </c>
    </row>
    <row r="94" ht="21.75" customFormat="1" customHeight="1" s="71">
      <c r="A94" s="86" t="n"/>
      <c r="B94" s="83" t="n"/>
      <c r="C94" s="50" t="n"/>
      <c r="D94" s="50" t="n"/>
      <c r="E94" s="68">
        <f>VLOOKUP(L94,'SKU Data'!A:B,2,0)</f>
        <v/>
      </c>
      <c r="F94" s="50" t="n"/>
      <c r="G94" s="126">
        <f>VLOOKUP(L94,'SKU Data'!A:C,3,0)</f>
        <v/>
      </c>
      <c r="H94" s="126">
        <f>F94*G94</f>
        <v/>
      </c>
      <c r="I94" s="50" t="n"/>
      <c r="J94" s="68" t="n"/>
      <c r="K94" s="50" t="n"/>
      <c r="L94" s="65" t="n"/>
      <c r="M94" s="70">
        <f>VLOOKUP(L94,'SKU Data'!A:D,4,0)</f>
        <v/>
      </c>
    </row>
    <row r="95" ht="21.75" customFormat="1" customHeight="1" s="71">
      <c r="A95" s="86" t="n"/>
      <c r="B95" s="83" t="n"/>
      <c r="C95" s="50" t="n"/>
      <c r="D95" s="50" t="n"/>
      <c r="E95" s="68">
        <f>VLOOKUP(L95,'SKU Data'!A:B,2,0)</f>
        <v/>
      </c>
      <c r="F95" s="50" t="n"/>
      <c r="G95" s="126">
        <f>VLOOKUP(L95,'SKU Data'!A:C,3,0)</f>
        <v/>
      </c>
      <c r="H95" s="126">
        <f>F95*G95</f>
        <v/>
      </c>
      <c r="I95" s="50" t="n"/>
      <c r="J95" s="68" t="n"/>
      <c r="K95" s="50" t="n"/>
      <c r="L95" s="65" t="n"/>
      <c r="M95" s="70">
        <f>VLOOKUP(L95,'SKU Data'!A:D,4,0)</f>
        <v/>
      </c>
    </row>
    <row r="96" ht="21.75" customFormat="1" customHeight="1" s="71">
      <c r="A96" s="86" t="n"/>
      <c r="B96" s="83" t="n"/>
      <c r="C96" s="50" t="n"/>
      <c r="D96" s="50" t="n"/>
      <c r="E96" s="68">
        <f>VLOOKUP(L96,'SKU Data'!A:B,2,0)</f>
        <v/>
      </c>
      <c r="F96" s="50" t="n"/>
      <c r="G96" s="126">
        <f>VLOOKUP(L96,'SKU Data'!A:C,3,0)</f>
        <v/>
      </c>
      <c r="H96" s="126">
        <f>F96*G96</f>
        <v/>
      </c>
      <c r="I96" s="50" t="n"/>
      <c r="J96" s="68" t="n"/>
      <c r="K96" s="50" t="n"/>
      <c r="L96" s="65" t="n"/>
      <c r="M96" s="70">
        <f>VLOOKUP(L96,'SKU Data'!A:D,4,0)</f>
        <v/>
      </c>
    </row>
    <row r="97" ht="21.75" customFormat="1" customHeight="1" s="71">
      <c r="A97" s="86" t="n"/>
      <c r="B97" s="83" t="n"/>
      <c r="C97" s="50" t="n"/>
      <c r="D97" s="50" t="n"/>
      <c r="E97" s="68">
        <f>VLOOKUP(L97,'SKU Data'!A:B,2,0)</f>
        <v/>
      </c>
      <c r="F97" s="50" t="n"/>
      <c r="G97" s="126">
        <f>VLOOKUP(L97,'SKU Data'!A:C,3,0)</f>
        <v/>
      </c>
      <c r="H97" s="126">
        <f>F97*G97</f>
        <v/>
      </c>
      <c r="I97" s="50" t="n"/>
      <c r="J97" s="68" t="n"/>
      <c r="K97" s="50" t="n"/>
      <c r="L97" s="65" t="n"/>
      <c r="M97" s="70">
        <f>VLOOKUP(L97,'SKU Data'!A:D,4,0)</f>
        <v/>
      </c>
    </row>
    <row r="98" ht="21.75" customFormat="1" customHeight="1" s="71">
      <c r="A98" s="86" t="n"/>
      <c r="B98" s="83" t="n"/>
      <c r="C98" s="50" t="n"/>
      <c r="D98" s="50" t="n"/>
      <c r="E98" s="68">
        <f>VLOOKUP(L98,'SKU Data'!A:B,2,0)</f>
        <v/>
      </c>
      <c r="F98" s="50" t="n"/>
      <c r="G98" s="126">
        <f>VLOOKUP(L98,'SKU Data'!A:C,3,0)</f>
        <v/>
      </c>
      <c r="H98" s="126">
        <f>F98*G98</f>
        <v/>
      </c>
      <c r="I98" s="50" t="n"/>
      <c r="J98" s="68" t="n"/>
      <c r="K98" s="50" t="n"/>
      <c r="L98" s="65" t="n"/>
      <c r="M98" s="70">
        <f>VLOOKUP(L98,'SKU Data'!A:D,4,0)</f>
        <v/>
      </c>
    </row>
    <row r="99" ht="21.75" customFormat="1" customHeight="1" s="71">
      <c r="A99" s="86" t="n"/>
      <c r="B99" s="83" t="n"/>
      <c r="C99" s="50" t="n"/>
      <c r="D99" s="50" t="n"/>
      <c r="E99" s="68">
        <f>VLOOKUP(L99,'SKU Data'!A:B,2,0)</f>
        <v/>
      </c>
      <c r="F99" s="50" t="n"/>
      <c r="G99" s="126">
        <f>VLOOKUP(L99,'SKU Data'!A:C,3,0)</f>
        <v/>
      </c>
      <c r="H99" s="126">
        <f>F99*G99</f>
        <v/>
      </c>
      <c r="I99" s="50" t="n"/>
      <c r="J99" s="68" t="n"/>
      <c r="K99" s="50" t="n"/>
      <c r="L99" s="65" t="n"/>
      <c r="M99" s="70">
        <f>VLOOKUP(L99,'SKU Data'!A:D,4,0)</f>
        <v/>
      </c>
    </row>
    <row r="100" ht="21.75" customFormat="1" customHeight="1" s="71">
      <c r="A100" s="86" t="n"/>
      <c r="B100" s="83" t="n"/>
      <c r="C100" s="50" t="n"/>
      <c r="D100" s="50" t="n"/>
      <c r="E100" s="68">
        <f>VLOOKUP(L100,'SKU Data'!A:B,2,0)</f>
        <v/>
      </c>
      <c r="F100" s="50" t="n"/>
      <c r="G100" s="126">
        <f>VLOOKUP(L100,'SKU Data'!A:C,3,0)</f>
        <v/>
      </c>
      <c r="H100" s="126">
        <f>F100*G100</f>
        <v/>
      </c>
      <c r="I100" s="50" t="n"/>
      <c r="J100" s="68" t="n"/>
      <c r="K100" s="50" t="n"/>
      <c r="L100" s="65" t="n"/>
      <c r="M100" s="70">
        <f>VLOOKUP(L100,'SKU Data'!A:D,4,0)</f>
        <v/>
      </c>
    </row>
    <row r="101" ht="21.75" customFormat="1" customHeight="1" s="71">
      <c r="A101" s="86" t="n"/>
      <c r="B101" s="83" t="n"/>
      <c r="C101" s="50" t="n"/>
      <c r="D101" s="50" t="n"/>
      <c r="E101" s="68">
        <f>VLOOKUP(L101,'SKU Data'!A:B,2,0)</f>
        <v/>
      </c>
      <c r="F101" s="50" t="n"/>
      <c r="G101" s="126">
        <f>VLOOKUP(L101,'SKU Data'!A:C,3,0)</f>
        <v/>
      </c>
      <c r="H101" s="126">
        <f>F101*G101</f>
        <v/>
      </c>
      <c r="I101" s="50" t="n"/>
      <c r="J101" s="68" t="n"/>
      <c r="K101" s="50" t="n"/>
      <c r="L101" s="65" t="n"/>
      <c r="M101" s="70">
        <f>VLOOKUP(L101,'SKU Data'!A:D,4,0)</f>
        <v/>
      </c>
    </row>
    <row r="102" ht="21.75" customFormat="1" customHeight="1" s="71">
      <c r="A102" s="86" t="n"/>
      <c r="B102" s="83" t="n"/>
      <c r="C102" s="50" t="n"/>
      <c r="D102" s="50" t="n"/>
      <c r="E102" s="68">
        <f>VLOOKUP(L102,'SKU Data'!A:B,2,0)</f>
        <v/>
      </c>
      <c r="F102" s="50" t="n"/>
      <c r="G102" s="126">
        <f>VLOOKUP(L102,'SKU Data'!A:C,3,0)</f>
        <v/>
      </c>
      <c r="H102" s="126">
        <f>F102*G102</f>
        <v/>
      </c>
      <c r="I102" s="50" t="n"/>
      <c r="J102" s="68" t="n"/>
      <c r="K102" s="50" t="n"/>
      <c r="L102" s="65" t="n"/>
      <c r="M102" s="70">
        <f>VLOOKUP(L102,'SKU Data'!A:D,4,0)</f>
        <v/>
      </c>
    </row>
    <row r="103" ht="21.75" customFormat="1" customHeight="1" s="71">
      <c r="A103" s="86" t="n"/>
      <c r="B103" s="83" t="n"/>
      <c r="C103" s="50" t="n"/>
      <c r="D103" s="50" t="n"/>
      <c r="E103" s="68">
        <f>VLOOKUP(L103,'SKU Data'!A:B,2,0)</f>
        <v/>
      </c>
      <c r="F103" s="50" t="n"/>
      <c r="G103" s="126">
        <f>VLOOKUP(L103,'SKU Data'!A:C,3,0)</f>
        <v/>
      </c>
      <c r="H103" s="126">
        <f>F103*G103</f>
        <v/>
      </c>
      <c r="I103" s="50" t="n"/>
      <c r="J103" s="68" t="n"/>
      <c r="K103" s="50" t="n"/>
      <c r="L103" s="65" t="n"/>
      <c r="M103" s="70">
        <f>VLOOKUP(L103,'SKU Data'!A:D,4,0)</f>
        <v/>
      </c>
    </row>
    <row r="104" ht="21.75" customFormat="1" customHeight="1" s="71">
      <c r="A104" s="86" t="n"/>
      <c r="B104" s="83" t="n"/>
      <c r="C104" s="50" t="n"/>
      <c r="D104" s="50" t="n"/>
      <c r="E104" s="68">
        <f>VLOOKUP(L104,'SKU Data'!A:B,2,0)</f>
        <v/>
      </c>
      <c r="F104" s="50" t="n"/>
      <c r="G104" s="126">
        <f>VLOOKUP(L104,'SKU Data'!A:C,3,0)</f>
        <v/>
      </c>
      <c r="H104" s="126">
        <f>F104*G104</f>
        <v/>
      </c>
      <c r="I104" s="50" t="n"/>
      <c r="J104" s="68" t="n"/>
      <c r="K104" s="50" t="n"/>
      <c r="L104" s="65" t="n"/>
      <c r="M104" s="70">
        <f>VLOOKUP(L104,'SKU Data'!A:D,4,0)</f>
        <v/>
      </c>
    </row>
    <row r="105" ht="21.75" customFormat="1" customHeight="1" s="71">
      <c r="A105" s="86" t="n"/>
      <c r="B105" s="83" t="n"/>
      <c r="C105" s="50" t="n"/>
      <c r="D105" s="50" t="n"/>
      <c r="E105" s="68">
        <f>VLOOKUP(L105,'SKU Data'!A:B,2,0)</f>
        <v/>
      </c>
      <c r="F105" s="50" t="n"/>
      <c r="G105" s="126">
        <f>VLOOKUP(L105,'SKU Data'!A:C,3,0)</f>
        <v/>
      </c>
      <c r="H105" s="126">
        <f>F105*G105</f>
        <v/>
      </c>
      <c r="I105" s="50" t="n"/>
      <c r="J105" s="68" t="n"/>
      <c r="K105" s="50" t="n"/>
      <c r="L105" s="65" t="n"/>
      <c r="M105" s="70">
        <f>VLOOKUP(L105,'SKU Data'!A:D,4,0)</f>
        <v/>
      </c>
    </row>
    <row r="106" ht="21.75" customFormat="1" customHeight="1" s="71">
      <c r="A106" s="86" t="n"/>
      <c r="B106" s="83" t="n"/>
      <c r="C106" s="50" t="n"/>
      <c r="D106" s="50" t="n"/>
      <c r="E106" s="68">
        <f>VLOOKUP(L106,'SKU Data'!A:B,2,0)</f>
        <v/>
      </c>
      <c r="F106" s="50" t="n"/>
      <c r="G106" s="126">
        <f>VLOOKUP(L106,'SKU Data'!A:C,3,0)</f>
        <v/>
      </c>
      <c r="H106" s="126">
        <f>F106*G106</f>
        <v/>
      </c>
      <c r="I106" s="50" t="n"/>
      <c r="J106" s="68" t="n"/>
      <c r="K106" s="50" t="n"/>
      <c r="L106" s="65" t="n"/>
      <c r="M106" s="70">
        <f>VLOOKUP(L106,'SKU Data'!A:D,4,0)</f>
        <v/>
      </c>
    </row>
    <row r="107" ht="21.75" customFormat="1" customHeight="1" s="71">
      <c r="A107" s="86" t="n"/>
      <c r="B107" s="83" t="n"/>
      <c r="C107" s="50" t="n"/>
      <c r="D107" s="50" t="n"/>
      <c r="E107" s="68">
        <f>VLOOKUP(L107,'SKU Data'!A:B,2,0)</f>
        <v/>
      </c>
      <c r="F107" s="50" t="n"/>
      <c r="G107" s="126">
        <f>VLOOKUP(L107,'SKU Data'!A:C,3,0)</f>
        <v/>
      </c>
      <c r="H107" s="126">
        <f>F107*G107</f>
        <v/>
      </c>
      <c r="I107" s="50" t="n"/>
      <c r="J107" s="68" t="n"/>
      <c r="K107" s="50" t="n"/>
      <c r="L107" s="65" t="n"/>
      <c r="M107" s="70">
        <f>VLOOKUP(L107,'SKU Data'!A:D,4,0)</f>
        <v/>
      </c>
    </row>
    <row r="108" ht="21.75" customFormat="1" customHeight="1" s="71">
      <c r="A108" s="86" t="n"/>
      <c r="B108" s="83" t="n"/>
      <c r="C108" s="50" t="n"/>
      <c r="D108" s="50" t="n"/>
      <c r="E108" s="68">
        <f>VLOOKUP(L108,'SKU Data'!A:B,2,0)</f>
        <v/>
      </c>
      <c r="F108" s="50" t="n"/>
      <c r="G108" s="126">
        <f>VLOOKUP(L108,'SKU Data'!A:C,3,0)</f>
        <v/>
      </c>
      <c r="H108" s="126">
        <f>F108*G108</f>
        <v/>
      </c>
      <c r="I108" s="50" t="n"/>
      <c r="J108" s="68" t="n"/>
      <c r="K108" s="50" t="n"/>
      <c r="L108" s="65" t="n"/>
      <c r="M108" s="70">
        <f>VLOOKUP(L108,'SKU Data'!A:D,4,0)</f>
        <v/>
      </c>
    </row>
    <row r="109" ht="21.75" customFormat="1" customHeight="1" s="71">
      <c r="A109" s="86" t="n"/>
      <c r="B109" s="83" t="n"/>
      <c r="C109" s="50" t="n"/>
      <c r="D109" s="50" t="n"/>
      <c r="E109" s="68">
        <f>VLOOKUP(L109,'SKU Data'!A:B,2,0)</f>
        <v/>
      </c>
      <c r="F109" s="50" t="n"/>
      <c r="G109" s="126">
        <f>VLOOKUP(L109,'SKU Data'!A:C,3,0)</f>
        <v/>
      </c>
      <c r="H109" s="126">
        <f>F109*G109</f>
        <v/>
      </c>
      <c r="I109" s="50" t="n"/>
      <c r="J109" s="68" t="n"/>
      <c r="K109" s="50" t="n"/>
      <c r="L109" s="65" t="n"/>
      <c r="M109" s="70">
        <f>VLOOKUP(L109,'SKU Data'!A:D,4,0)</f>
        <v/>
      </c>
    </row>
    <row r="110" ht="21.75" customFormat="1" customHeight="1" s="71">
      <c r="A110" s="86" t="n"/>
      <c r="B110" s="83" t="n"/>
      <c r="C110" s="50" t="n"/>
      <c r="D110" s="50" t="n"/>
      <c r="E110" s="68">
        <f>VLOOKUP(L110,'SKU Data'!A:B,2,0)</f>
        <v/>
      </c>
      <c r="F110" s="50" t="n"/>
      <c r="G110" s="126">
        <f>VLOOKUP(L110,'SKU Data'!A:C,3,0)</f>
        <v/>
      </c>
      <c r="H110" s="126">
        <f>F110*G110</f>
        <v/>
      </c>
      <c r="I110" s="50" t="n"/>
      <c r="J110" s="68" t="n"/>
      <c r="K110" s="50" t="n"/>
      <c r="L110" s="65" t="n"/>
      <c r="M110" s="70">
        <f>VLOOKUP(L110,'SKU Data'!A:D,4,0)</f>
        <v/>
      </c>
    </row>
    <row r="111" ht="21.75" customFormat="1" customHeight="1" s="71">
      <c r="A111" s="86" t="n"/>
      <c r="B111" s="83" t="n"/>
      <c r="C111" s="50" t="n"/>
      <c r="D111" s="50" t="n"/>
      <c r="E111" s="68">
        <f>VLOOKUP(L111,'SKU Data'!A:B,2,0)</f>
        <v/>
      </c>
      <c r="F111" s="50" t="n"/>
      <c r="G111" s="126">
        <f>VLOOKUP(L111,'SKU Data'!A:C,3,0)</f>
        <v/>
      </c>
      <c r="H111" s="126">
        <f>F111*G111</f>
        <v/>
      </c>
      <c r="I111" s="50" t="n"/>
      <c r="J111" s="68" t="n"/>
      <c r="K111" s="50" t="n"/>
      <c r="L111" s="65" t="n"/>
      <c r="M111" s="70">
        <f>VLOOKUP(L111,'SKU Data'!A:D,4,0)</f>
        <v/>
      </c>
    </row>
    <row r="112" ht="21.75" customFormat="1" customHeight="1" s="71">
      <c r="A112" s="86" t="n"/>
      <c r="B112" s="83" t="n"/>
      <c r="C112" s="50" t="n"/>
      <c r="D112" s="50" t="n"/>
      <c r="E112" s="68">
        <f>VLOOKUP(L112,'SKU Data'!A:B,2,0)</f>
        <v/>
      </c>
      <c r="F112" s="50" t="n"/>
      <c r="G112" s="126">
        <f>VLOOKUP(L112,'SKU Data'!A:C,3,0)</f>
        <v/>
      </c>
      <c r="H112" s="126">
        <f>F112*G112</f>
        <v/>
      </c>
      <c r="I112" s="50" t="n"/>
      <c r="J112" s="68" t="n"/>
      <c r="K112" s="50" t="n"/>
      <c r="L112" s="65" t="n"/>
      <c r="M112" s="70">
        <f>VLOOKUP(L112,'SKU Data'!A:D,4,0)</f>
        <v/>
      </c>
    </row>
    <row r="113" ht="21.75" customFormat="1" customHeight="1" s="71">
      <c r="A113" s="86" t="n"/>
      <c r="B113" s="83" t="n"/>
      <c r="C113" s="50" t="n"/>
      <c r="D113" s="50" t="n"/>
      <c r="E113" s="68">
        <f>VLOOKUP(L113,'SKU Data'!A:B,2,0)</f>
        <v/>
      </c>
      <c r="F113" s="50" t="n"/>
      <c r="G113" s="126">
        <f>VLOOKUP(L113,'SKU Data'!A:C,3,0)</f>
        <v/>
      </c>
      <c r="H113" s="126">
        <f>F113*G113</f>
        <v/>
      </c>
      <c r="I113" s="50" t="n"/>
      <c r="J113" s="68" t="n"/>
      <c r="K113" s="50" t="n"/>
      <c r="L113" s="65" t="n"/>
      <c r="M113" s="70">
        <f>VLOOKUP(L113,'SKU Data'!A:D,4,0)</f>
        <v/>
      </c>
    </row>
    <row r="114" ht="21.75" customFormat="1" customHeight="1" s="71">
      <c r="A114" s="86" t="n"/>
      <c r="B114" s="83" t="n"/>
      <c r="C114" s="50" t="n"/>
      <c r="D114" s="50" t="n"/>
      <c r="E114" s="68">
        <f>VLOOKUP(L114,'SKU Data'!A:B,2,0)</f>
        <v/>
      </c>
      <c r="F114" s="50" t="n"/>
      <c r="G114" s="126">
        <f>VLOOKUP(L114,'SKU Data'!A:C,3,0)</f>
        <v/>
      </c>
      <c r="H114" s="126">
        <f>F114*G114</f>
        <v/>
      </c>
      <c r="I114" s="50" t="n"/>
      <c r="J114" s="68" t="n"/>
      <c r="K114" s="50" t="n"/>
      <c r="L114" s="65" t="n"/>
      <c r="M114" s="70">
        <f>VLOOKUP(L114,'SKU Data'!A:D,4,0)</f>
        <v/>
      </c>
    </row>
    <row r="115" ht="21.75" customFormat="1" customHeight="1" s="71">
      <c r="A115" s="86" t="n"/>
      <c r="B115" s="83" t="n"/>
      <c r="C115" s="50" t="n"/>
      <c r="D115" s="50" t="n"/>
      <c r="E115" s="68">
        <f>VLOOKUP(L115,'SKU Data'!A:B,2,0)</f>
        <v/>
      </c>
      <c r="F115" s="50" t="n"/>
      <c r="G115" s="126">
        <f>VLOOKUP(L115,'SKU Data'!A:C,3,0)</f>
        <v/>
      </c>
      <c r="H115" s="126">
        <f>F115*G115</f>
        <v/>
      </c>
      <c r="I115" s="50" t="n"/>
      <c r="J115" s="68" t="n"/>
      <c r="K115" s="50" t="n"/>
      <c r="L115" s="65" t="n"/>
      <c r="M115" s="70">
        <f>VLOOKUP(L115,'SKU Data'!A:D,4,0)</f>
        <v/>
      </c>
    </row>
    <row r="116" ht="21.75" customFormat="1" customHeight="1" s="71">
      <c r="A116" s="86" t="n"/>
      <c r="B116" s="83" t="n"/>
      <c r="C116" s="50" t="n"/>
      <c r="D116" s="50" t="n"/>
      <c r="E116" s="68">
        <f>VLOOKUP(L116,'SKU Data'!A:B,2,0)</f>
        <v/>
      </c>
      <c r="F116" s="50" t="n"/>
      <c r="G116" s="126">
        <f>VLOOKUP(L116,'SKU Data'!A:C,3,0)</f>
        <v/>
      </c>
      <c r="H116" s="126">
        <f>F116*G116</f>
        <v/>
      </c>
      <c r="I116" s="50" t="n"/>
      <c r="J116" s="68" t="n"/>
      <c r="K116" s="50" t="n"/>
      <c r="L116" s="65" t="n"/>
      <c r="M116" s="70">
        <f>VLOOKUP(L116,'SKU Data'!A:D,4,0)</f>
        <v/>
      </c>
    </row>
    <row r="117" ht="21.75" customFormat="1" customHeight="1" s="71">
      <c r="A117" s="86" t="n"/>
      <c r="B117" s="83" t="n"/>
      <c r="C117" s="50" t="n"/>
      <c r="D117" s="50" t="n"/>
      <c r="E117" s="68">
        <f>VLOOKUP(L117,'SKU Data'!A:B,2,0)</f>
        <v/>
      </c>
      <c r="F117" s="50" t="n"/>
      <c r="G117" s="126">
        <f>VLOOKUP(L117,'SKU Data'!A:C,3,0)</f>
        <v/>
      </c>
      <c r="H117" s="126">
        <f>F117*G117</f>
        <v/>
      </c>
      <c r="I117" s="50" t="n"/>
      <c r="J117" s="68" t="n"/>
      <c r="K117" s="50" t="n"/>
      <c r="L117" s="65" t="n"/>
      <c r="M117" s="70">
        <f>VLOOKUP(L117,'SKU Data'!A:D,4,0)</f>
        <v/>
      </c>
    </row>
    <row r="118" ht="21.75" customFormat="1" customHeight="1" s="71">
      <c r="A118" s="86" t="n"/>
      <c r="B118" s="83" t="n"/>
      <c r="C118" s="50" t="n"/>
      <c r="D118" s="50" t="n"/>
      <c r="E118" s="68">
        <f>VLOOKUP(L118,'SKU Data'!A:B,2,0)</f>
        <v/>
      </c>
      <c r="F118" s="50" t="n"/>
      <c r="G118" s="126">
        <f>VLOOKUP(L118,'SKU Data'!A:C,3,0)</f>
        <v/>
      </c>
      <c r="H118" s="126">
        <f>F118*G118</f>
        <v/>
      </c>
      <c r="I118" s="50" t="n"/>
      <c r="J118" s="68" t="n"/>
      <c r="K118" s="50" t="n"/>
      <c r="L118" s="65" t="n"/>
      <c r="M118" s="70">
        <f>VLOOKUP(L118,'SKU Data'!A:D,4,0)</f>
        <v/>
      </c>
    </row>
    <row r="119" ht="21.75" customFormat="1" customHeight="1" s="71">
      <c r="A119" s="86" t="n"/>
      <c r="B119" s="83" t="n"/>
      <c r="C119" s="50" t="n"/>
      <c r="D119" s="50" t="n"/>
      <c r="E119" s="68">
        <f>VLOOKUP(L119,'SKU Data'!A:B,2,0)</f>
        <v/>
      </c>
      <c r="F119" s="50" t="n"/>
      <c r="G119" s="126">
        <f>VLOOKUP(L119,'SKU Data'!A:C,3,0)</f>
        <v/>
      </c>
      <c r="H119" s="126">
        <f>F119*G119</f>
        <v/>
      </c>
      <c r="I119" s="50" t="n"/>
      <c r="J119" s="68" t="n"/>
      <c r="K119" s="50" t="n"/>
      <c r="L119" s="65" t="n"/>
      <c r="M119" s="70">
        <f>VLOOKUP(L119,'SKU Data'!A:D,4,0)</f>
        <v/>
      </c>
    </row>
    <row r="120" ht="21.75" customFormat="1" customHeight="1" s="71">
      <c r="A120" s="86" t="n"/>
      <c r="B120" s="83" t="n"/>
      <c r="C120" s="50" t="n"/>
      <c r="D120" s="50" t="n"/>
      <c r="E120" s="68">
        <f>VLOOKUP(L120,'SKU Data'!A:B,2,0)</f>
        <v/>
      </c>
      <c r="F120" s="50" t="n"/>
      <c r="G120" s="126">
        <f>VLOOKUP(L120,'SKU Data'!A:C,3,0)</f>
        <v/>
      </c>
      <c r="H120" s="126">
        <f>F120*G120</f>
        <v/>
      </c>
      <c r="I120" s="50" t="n"/>
      <c r="J120" s="68" t="n"/>
      <c r="K120" s="50" t="n"/>
      <c r="L120" s="65" t="n"/>
      <c r="M120" s="70">
        <f>VLOOKUP(L120,'SKU Data'!A:D,4,0)</f>
        <v/>
      </c>
    </row>
    <row r="121" ht="21.75" customFormat="1" customHeight="1" s="71">
      <c r="A121" s="86" t="n"/>
      <c r="B121" s="83" t="n"/>
      <c r="C121" s="50" t="n"/>
      <c r="D121" s="50" t="n"/>
      <c r="E121" s="68">
        <f>VLOOKUP(L121,'SKU Data'!A:B,2,0)</f>
        <v/>
      </c>
      <c r="F121" s="50" t="n"/>
      <c r="G121" s="126">
        <f>VLOOKUP(L121,'SKU Data'!A:C,3,0)</f>
        <v/>
      </c>
      <c r="H121" s="126">
        <f>F121*G121</f>
        <v/>
      </c>
      <c r="I121" s="50" t="n"/>
      <c r="J121" s="68" t="n"/>
      <c r="K121" s="50" t="n"/>
      <c r="L121" s="65" t="n"/>
      <c r="M121" s="70">
        <f>VLOOKUP(L121,'SKU Data'!A:D,4,0)</f>
        <v/>
      </c>
    </row>
    <row r="122" ht="21.75" customFormat="1" customHeight="1" s="71">
      <c r="A122" s="86" t="n"/>
      <c r="B122" s="83" t="n"/>
      <c r="C122" s="50" t="n"/>
      <c r="D122" s="50" t="n"/>
      <c r="E122" s="68">
        <f>VLOOKUP(L122,'SKU Data'!A:B,2,0)</f>
        <v/>
      </c>
      <c r="F122" s="50" t="n"/>
      <c r="G122" s="126">
        <f>VLOOKUP(L122,'SKU Data'!A:C,3,0)</f>
        <v/>
      </c>
      <c r="H122" s="126">
        <f>F122*G122</f>
        <v/>
      </c>
      <c r="I122" s="50" t="n"/>
      <c r="J122" s="68" t="n"/>
      <c r="K122" s="50" t="n"/>
      <c r="L122" s="65" t="n"/>
      <c r="M122" s="70">
        <f>VLOOKUP(L122,'SKU Data'!A:D,4,0)</f>
        <v/>
      </c>
    </row>
    <row r="123" ht="21.75" customFormat="1" customHeight="1" s="71">
      <c r="A123" s="86" t="n"/>
      <c r="B123" s="83" t="n"/>
      <c r="C123" s="50" t="n"/>
      <c r="D123" s="50" t="n"/>
      <c r="E123" s="68">
        <f>VLOOKUP(L123,'SKU Data'!A:B,2,0)</f>
        <v/>
      </c>
      <c r="F123" s="50" t="n"/>
      <c r="G123" s="126">
        <f>VLOOKUP(L123,'SKU Data'!A:C,3,0)</f>
        <v/>
      </c>
      <c r="H123" s="126">
        <f>F123*G123</f>
        <v/>
      </c>
      <c r="I123" s="50" t="n"/>
      <c r="J123" s="68" t="n"/>
      <c r="K123" s="50" t="n"/>
      <c r="L123" s="65" t="n"/>
      <c r="M123" s="70">
        <f>VLOOKUP(L123,'SKU Data'!A:D,4,0)</f>
        <v/>
      </c>
    </row>
    <row r="124" ht="21.75" customFormat="1" customHeight="1" s="71">
      <c r="A124" s="86" t="n"/>
      <c r="B124" s="83" t="n"/>
      <c r="C124" s="50" t="n"/>
      <c r="D124" s="50" t="n"/>
      <c r="E124" s="68">
        <f>VLOOKUP(L124,'SKU Data'!A:B,2,0)</f>
        <v/>
      </c>
      <c r="F124" s="50" t="n"/>
      <c r="G124" s="126">
        <f>VLOOKUP(L124,'SKU Data'!A:C,3,0)</f>
        <v/>
      </c>
      <c r="H124" s="126">
        <f>F124*G124</f>
        <v/>
      </c>
      <c r="I124" s="50" t="n"/>
      <c r="J124" s="68" t="n"/>
      <c r="K124" s="50" t="n"/>
      <c r="L124" s="65" t="n"/>
      <c r="M124" s="70">
        <f>VLOOKUP(L124,'SKU Data'!A:D,4,0)</f>
        <v/>
      </c>
    </row>
    <row r="125" ht="21.75" customFormat="1" customHeight="1" s="71">
      <c r="A125" s="86" t="n"/>
      <c r="B125" s="83" t="n"/>
      <c r="C125" s="50" t="n"/>
      <c r="D125" s="50" t="n"/>
      <c r="E125" s="68">
        <f>VLOOKUP(L125,'SKU Data'!A:B,2,0)</f>
        <v/>
      </c>
      <c r="F125" s="50" t="n"/>
      <c r="G125" s="126">
        <f>VLOOKUP(L125,'SKU Data'!A:C,3,0)</f>
        <v/>
      </c>
      <c r="H125" s="126">
        <f>F125*G125</f>
        <v/>
      </c>
      <c r="I125" s="50" t="n"/>
      <c r="J125" s="68" t="n"/>
      <c r="K125" s="50" t="n"/>
      <c r="L125" s="65" t="n"/>
      <c r="M125" s="70">
        <f>VLOOKUP(L125,'SKU Data'!A:D,4,0)</f>
        <v/>
      </c>
    </row>
    <row r="126" ht="21.75" customFormat="1" customHeight="1" s="71">
      <c r="A126" s="86" t="n"/>
      <c r="B126" s="83" t="n"/>
      <c r="C126" s="50" t="n"/>
      <c r="D126" s="50" t="n"/>
      <c r="E126" s="68">
        <f>VLOOKUP(L126,'SKU Data'!A:B,2,0)</f>
        <v/>
      </c>
      <c r="F126" s="50" t="n"/>
      <c r="G126" s="126">
        <f>VLOOKUP(L126,'SKU Data'!A:C,3,0)</f>
        <v/>
      </c>
      <c r="H126" s="126">
        <f>F126*G126</f>
        <v/>
      </c>
      <c r="I126" s="50" t="n"/>
      <c r="J126" s="68" t="n"/>
      <c r="K126" s="50" t="n"/>
      <c r="L126" s="65" t="n"/>
      <c r="M126" s="70">
        <f>VLOOKUP(L126,'SKU Data'!A:D,4,0)</f>
        <v/>
      </c>
    </row>
    <row r="127" ht="21.75" customFormat="1" customHeight="1" s="71">
      <c r="A127" s="86" t="n"/>
      <c r="B127" s="83" t="n"/>
      <c r="C127" s="50" t="n"/>
      <c r="D127" s="50" t="n"/>
      <c r="E127" s="68">
        <f>VLOOKUP(L127,'SKU Data'!A:B,2,0)</f>
        <v/>
      </c>
      <c r="F127" s="50" t="n"/>
      <c r="G127" s="126">
        <f>VLOOKUP(L127,'SKU Data'!A:C,3,0)</f>
        <v/>
      </c>
      <c r="H127" s="126">
        <f>F127*G127</f>
        <v/>
      </c>
      <c r="I127" s="50" t="n"/>
      <c r="J127" s="68" t="n"/>
      <c r="K127" s="50" t="n"/>
      <c r="L127" s="65" t="n"/>
      <c r="M127" s="70">
        <f>VLOOKUP(L127,'SKU Data'!A:D,4,0)</f>
        <v/>
      </c>
    </row>
    <row r="128" ht="21.75" customFormat="1" customHeight="1" s="71">
      <c r="A128" s="86" t="n"/>
      <c r="B128" s="83" t="n"/>
      <c r="C128" s="50" t="n"/>
      <c r="D128" s="50" t="n"/>
      <c r="E128" s="68">
        <f>VLOOKUP(L128,'SKU Data'!A:B,2,0)</f>
        <v/>
      </c>
      <c r="F128" s="50" t="n"/>
      <c r="G128" s="126">
        <f>VLOOKUP(L128,'SKU Data'!A:C,3,0)</f>
        <v/>
      </c>
      <c r="H128" s="126">
        <f>F128*G128</f>
        <v/>
      </c>
      <c r="I128" s="50" t="n"/>
      <c r="J128" s="68" t="n"/>
      <c r="K128" s="50" t="n"/>
      <c r="L128" s="65" t="n"/>
      <c r="M128" s="70">
        <f>VLOOKUP(L128,'SKU Data'!A:D,4,0)</f>
        <v/>
      </c>
    </row>
    <row r="129" ht="21.75" customFormat="1" customHeight="1" s="71">
      <c r="A129" s="86" t="n"/>
      <c r="B129" s="83" t="n"/>
      <c r="C129" s="50" t="n"/>
      <c r="D129" s="50" t="n"/>
      <c r="E129" s="68">
        <f>VLOOKUP(L129,'SKU Data'!A:B,2,0)</f>
        <v/>
      </c>
      <c r="F129" s="50" t="n"/>
      <c r="G129" s="126">
        <f>VLOOKUP(L129,'SKU Data'!A:C,3,0)</f>
        <v/>
      </c>
      <c r="H129" s="126">
        <f>F129*G129</f>
        <v/>
      </c>
      <c r="I129" s="50" t="n"/>
      <c r="J129" s="68" t="n"/>
      <c r="K129" s="50" t="n"/>
      <c r="L129" s="65" t="n"/>
      <c r="M129" s="70">
        <f>VLOOKUP(L129,'SKU Data'!A:D,4,0)</f>
        <v/>
      </c>
    </row>
    <row r="130" ht="21.75" customFormat="1" customHeight="1" s="71">
      <c r="A130" s="86" t="n"/>
      <c r="B130" s="83" t="n"/>
      <c r="C130" s="50" t="n"/>
      <c r="D130" s="50" t="n"/>
      <c r="E130" s="68">
        <f>VLOOKUP(L130,'SKU Data'!A:B,2,0)</f>
        <v/>
      </c>
      <c r="F130" s="50" t="n"/>
      <c r="G130" s="126">
        <f>VLOOKUP(L130,'SKU Data'!A:C,3,0)</f>
        <v/>
      </c>
      <c r="H130" s="126">
        <f>F130*G130</f>
        <v/>
      </c>
      <c r="I130" s="50" t="n"/>
      <c r="J130" s="68" t="n"/>
      <c r="K130" s="50" t="n"/>
      <c r="L130" s="65" t="n"/>
      <c r="M130" s="70">
        <f>VLOOKUP(L130,'SKU Data'!A:D,4,0)</f>
        <v/>
      </c>
    </row>
    <row r="131" ht="21.75" customFormat="1" customHeight="1" s="71">
      <c r="A131" s="86" t="n"/>
      <c r="B131" s="83" t="n"/>
      <c r="C131" s="50" t="n"/>
      <c r="D131" s="50" t="n"/>
      <c r="E131" s="68">
        <f>VLOOKUP(L131,'SKU Data'!A:B,2,0)</f>
        <v/>
      </c>
      <c r="F131" s="50" t="n"/>
      <c r="G131" s="126">
        <f>VLOOKUP(L131,'SKU Data'!A:C,3,0)</f>
        <v/>
      </c>
      <c r="H131" s="126">
        <f>F131*G131</f>
        <v/>
      </c>
      <c r="I131" s="50" t="n"/>
      <c r="J131" s="68" t="n"/>
      <c r="K131" s="50" t="n"/>
      <c r="L131" s="65" t="n"/>
      <c r="M131" s="70">
        <f>VLOOKUP(L131,'SKU Data'!A:D,4,0)</f>
        <v/>
      </c>
    </row>
    <row r="132" ht="21.75" customFormat="1" customHeight="1" s="71">
      <c r="A132" s="86" t="n"/>
      <c r="B132" s="83" t="n"/>
      <c r="C132" s="50" t="n"/>
      <c r="D132" s="50" t="n"/>
      <c r="E132" s="68">
        <f>VLOOKUP(L132,'SKU Data'!A:B,2,0)</f>
        <v/>
      </c>
      <c r="F132" s="50" t="n"/>
      <c r="G132" s="126">
        <f>VLOOKUP(L132,'SKU Data'!A:C,3,0)</f>
        <v/>
      </c>
      <c r="H132" s="126">
        <f>F132*G132</f>
        <v/>
      </c>
      <c r="I132" s="50" t="n"/>
      <c r="J132" s="68" t="n"/>
      <c r="K132" s="50" t="n"/>
      <c r="L132" s="65" t="n"/>
      <c r="M132" s="70">
        <f>VLOOKUP(L132,'SKU Data'!A:D,4,0)</f>
        <v/>
      </c>
    </row>
    <row r="133" ht="21.75" customFormat="1" customHeight="1" s="71">
      <c r="A133" s="86" t="n"/>
      <c r="B133" s="83" t="n"/>
      <c r="C133" s="50" t="n"/>
      <c r="D133" s="50" t="n"/>
      <c r="E133" s="68">
        <f>VLOOKUP(L133,'SKU Data'!A:B,2,0)</f>
        <v/>
      </c>
      <c r="F133" s="50" t="n"/>
      <c r="G133" s="126">
        <f>VLOOKUP(L133,'SKU Data'!A:C,3,0)</f>
        <v/>
      </c>
      <c r="H133" s="126">
        <f>F133*G133</f>
        <v/>
      </c>
      <c r="I133" s="50" t="n"/>
      <c r="J133" s="68" t="n"/>
      <c r="K133" s="50" t="n"/>
      <c r="L133" s="65" t="n"/>
      <c r="M133" s="70">
        <f>VLOOKUP(L133,'SKU Data'!A:D,4,0)</f>
        <v/>
      </c>
    </row>
    <row r="134" ht="21.75" customFormat="1" customHeight="1" s="71">
      <c r="A134" s="86" t="n"/>
      <c r="B134" s="83" t="n"/>
      <c r="C134" s="50" t="n"/>
      <c r="D134" s="50" t="n"/>
      <c r="E134" s="68">
        <f>VLOOKUP(L134,'SKU Data'!A:B,2,0)</f>
        <v/>
      </c>
      <c r="F134" s="50" t="n"/>
      <c r="G134" s="126">
        <f>VLOOKUP(L134,'SKU Data'!A:C,3,0)</f>
        <v/>
      </c>
      <c r="H134" s="126">
        <f>F134*G134</f>
        <v/>
      </c>
      <c r="I134" s="50" t="n"/>
      <c r="J134" s="68" t="n"/>
      <c r="K134" s="50" t="n"/>
      <c r="L134" s="65" t="n"/>
      <c r="M134" s="70">
        <f>VLOOKUP(L134,'SKU Data'!A:D,4,0)</f>
        <v/>
      </c>
    </row>
    <row r="135" ht="21.75" customFormat="1" customHeight="1" s="71">
      <c r="A135" s="86" t="n"/>
      <c r="B135" s="83" t="n"/>
      <c r="C135" s="50" t="n"/>
      <c r="D135" s="50" t="n"/>
      <c r="E135" s="68">
        <f>VLOOKUP(L135,'SKU Data'!A:B,2,0)</f>
        <v/>
      </c>
      <c r="F135" s="50" t="n"/>
      <c r="G135" s="126">
        <f>VLOOKUP(L135,'SKU Data'!A:C,3,0)</f>
        <v/>
      </c>
      <c r="H135" s="126">
        <f>F135*G135</f>
        <v/>
      </c>
      <c r="I135" s="50" t="n"/>
      <c r="J135" s="68" t="n"/>
      <c r="K135" s="50" t="n"/>
      <c r="L135" s="65" t="n"/>
      <c r="M135" s="70">
        <f>VLOOKUP(L135,'SKU Data'!A:D,4,0)</f>
        <v/>
      </c>
    </row>
    <row r="136" ht="21.75" customFormat="1" customHeight="1" s="71">
      <c r="A136" s="86" t="n"/>
      <c r="B136" s="83" t="n"/>
      <c r="C136" s="50" t="n"/>
      <c r="D136" s="50" t="n"/>
      <c r="E136" s="68">
        <f>VLOOKUP(L136,'SKU Data'!A:B,2,0)</f>
        <v/>
      </c>
      <c r="F136" s="50" t="n"/>
      <c r="G136" s="126">
        <f>VLOOKUP(L136,'SKU Data'!A:C,3,0)</f>
        <v/>
      </c>
      <c r="H136" s="126">
        <f>F136*G136</f>
        <v/>
      </c>
      <c r="I136" s="50" t="n"/>
      <c r="J136" s="68" t="n"/>
      <c r="K136" s="50" t="n"/>
      <c r="L136" s="65" t="n"/>
      <c r="M136" s="70">
        <f>VLOOKUP(L136,'SKU Data'!A:D,4,0)</f>
        <v/>
      </c>
    </row>
    <row r="137" ht="21.75" customFormat="1" customHeight="1" s="71">
      <c r="A137" s="86" t="n"/>
      <c r="B137" s="83" t="n"/>
      <c r="C137" s="50" t="n"/>
      <c r="D137" s="50" t="n"/>
      <c r="E137" s="68">
        <f>VLOOKUP(L137,'SKU Data'!A:B,2,0)</f>
        <v/>
      </c>
      <c r="F137" s="50" t="n"/>
      <c r="G137" s="126">
        <f>VLOOKUP(L137,'SKU Data'!A:C,3,0)</f>
        <v/>
      </c>
      <c r="H137" s="126">
        <f>F137*G137</f>
        <v/>
      </c>
      <c r="I137" s="50" t="n"/>
      <c r="J137" s="68" t="n"/>
      <c r="K137" s="50" t="n"/>
      <c r="L137" s="65" t="n"/>
      <c r="M137" s="70">
        <f>VLOOKUP(L137,'SKU Data'!A:D,4,0)</f>
        <v/>
      </c>
    </row>
    <row r="138" ht="21.75" customFormat="1" customHeight="1" s="71">
      <c r="A138" s="86" t="n"/>
      <c r="B138" s="83" t="n"/>
      <c r="C138" s="50" t="n"/>
      <c r="D138" s="50" t="n"/>
      <c r="E138" s="68">
        <f>VLOOKUP(L138,'SKU Data'!A:B,2,0)</f>
        <v/>
      </c>
      <c r="F138" s="50" t="n"/>
      <c r="G138" s="126">
        <f>VLOOKUP(L138,'SKU Data'!A:C,3,0)</f>
        <v/>
      </c>
      <c r="H138" s="126">
        <f>F138*G138</f>
        <v/>
      </c>
      <c r="I138" s="50" t="n"/>
      <c r="J138" s="68" t="n"/>
      <c r="K138" s="50" t="n"/>
      <c r="L138" s="65" t="n"/>
      <c r="M138" s="70">
        <f>VLOOKUP(L138,'SKU Data'!A:D,4,0)</f>
        <v/>
      </c>
    </row>
    <row r="139" ht="21.75" customFormat="1" customHeight="1" s="71">
      <c r="A139" s="86" t="n"/>
      <c r="B139" s="83" t="n"/>
      <c r="C139" s="50" t="n"/>
      <c r="D139" s="50" t="n"/>
      <c r="E139" s="68">
        <f>VLOOKUP(L139,'SKU Data'!A:B,2,0)</f>
        <v/>
      </c>
      <c r="F139" s="50" t="n"/>
      <c r="G139" s="126">
        <f>VLOOKUP(L139,'SKU Data'!A:C,3,0)</f>
        <v/>
      </c>
      <c r="H139" s="126">
        <f>F139*G139</f>
        <v/>
      </c>
      <c r="I139" s="50" t="n"/>
      <c r="J139" s="68" t="n"/>
      <c r="K139" s="50" t="n"/>
      <c r="L139" s="65" t="n"/>
      <c r="M139" s="70">
        <f>VLOOKUP(L139,'SKU Data'!A:D,4,0)</f>
        <v/>
      </c>
    </row>
    <row r="140" ht="21.75" customFormat="1" customHeight="1" s="71">
      <c r="A140" s="86" t="n"/>
      <c r="B140" s="83" t="n"/>
      <c r="C140" s="50" t="n"/>
      <c r="D140" s="50" t="n"/>
      <c r="E140" s="68">
        <f>VLOOKUP(L140,'SKU Data'!A:B,2,0)</f>
        <v/>
      </c>
      <c r="F140" s="50" t="n"/>
      <c r="G140" s="126">
        <f>VLOOKUP(L140,'SKU Data'!A:C,3,0)</f>
        <v/>
      </c>
      <c r="H140" s="126">
        <f>F140*G140</f>
        <v/>
      </c>
      <c r="I140" s="50" t="n"/>
      <c r="J140" s="68" t="n"/>
      <c r="K140" s="50" t="n"/>
      <c r="L140" s="65" t="n"/>
      <c r="M140" s="70">
        <f>VLOOKUP(L140,'SKU Data'!A:D,4,0)</f>
        <v/>
      </c>
    </row>
    <row r="141" ht="21.75" customFormat="1" customHeight="1" s="71">
      <c r="A141" s="86" t="n"/>
      <c r="B141" s="83" t="n"/>
      <c r="C141" s="50" t="n"/>
      <c r="D141" s="50" t="n"/>
      <c r="E141" s="68">
        <f>VLOOKUP(L141,'SKU Data'!A:B,2,0)</f>
        <v/>
      </c>
      <c r="F141" s="50" t="n"/>
      <c r="G141" s="126">
        <f>VLOOKUP(L141,'SKU Data'!A:C,3,0)</f>
        <v/>
      </c>
      <c r="H141" s="126">
        <f>F141*G141</f>
        <v/>
      </c>
      <c r="I141" s="50" t="n"/>
      <c r="J141" s="68" t="n"/>
      <c r="K141" s="50" t="n"/>
      <c r="L141" s="65" t="n"/>
      <c r="M141" s="70">
        <f>VLOOKUP(L141,'SKU Data'!A:D,4,0)</f>
        <v/>
      </c>
    </row>
    <row r="142" ht="21.75" customFormat="1" customHeight="1" s="71">
      <c r="A142" s="86" t="n"/>
      <c r="B142" s="83" t="n"/>
      <c r="C142" s="50" t="n"/>
      <c r="D142" s="50" t="n"/>
      <c r="E142" s="68">
        <f>VLOOKUP(L142,'SKU Data'!A:B,2,0)</f>
        <v/>
      </c>
      <c r="F142" s="50" t="n"/>
      <c r="G142" s="126">
        <f>VLOOKUP(L142,'SKU Data'!A:C,3,0)</f>
        <v/>
      </c>
      <c r="H142" s="126">
        <f>F142*G142</f>
        <v/>
      </c>
      <c r="I142" s="50" t="n"/>
      <c r="J142" s="68" t="n"/>
      <c r="K142" s="50" t="n"/>
      <c r="L142" s="65" t="n"/>
      <c r="M142" s="70">
        <f>VLOOKUP(L142,'SKU Data'!A:D,4,0)</f>
        <v/>
      </c>
    </row>
    <row r="143" ht="21.75" customFormat="1" customHeight="1" s="71">
      <c r="A143" s="86" t="n"/>
      <c r="B143" s="83" t="n"/>
      <c r="C143" s="50" t="n"/>
      <c r="D143" s="50" t="n"/>
      <c r="E143" s="68">
        <f>VLOOKUP(L143,'SKU Data'!A:B,2,0)</f>
        <v/>
      </c>
      <c r="F143" s="50" t="n"/>
      <c r="G143" s="126">
        <f>VLOOKUP(L143,'SKU Data'!A:C,3,0)</f>
        <v/>
      </c>
      <c r="H143" s="126">
        <f>F143*G143</f>
        <v/>
      </c>
      <c r="I143" s="50" t="n"/>
      <c r="J143" s="68" t="n"/>
      <c r="K143" s="50" t="n"/>
      <c r="L143" s="65" t="n"/>
      <c r="M143" s="70">
        <f>VLOOKUP(L143,'SKU Data'!A:D,4,0)</f>
        <v/>
      </c>
    </row>
    <row r="144" ht="21.75" customFormat="1" customHeight="1" s="71">
      <c r="A144" s="86" t="n"/>
      <c r="B144" s="83" t="n"/>
      <c r="C144" s="50" t="n"/>
      <c r="D144" s="50" t="n"/>
      <c r="E144" s="68">
        <f>VLOOKUP(L144,'SKU Data'!A:B,2,0)</f>
        <v/>
      </c>
      <c r="F144" s="50" t="n"/>
      <c r="G144" s="126">
        <f>VLOOKUP(L144,'SKU Data'!A:C,3,0)</f>
        <v/>
      </c>
      <c r="H144" s="126">
        <f>F144*G144</f>
        <v/>
      </c>
      <c r="I144" s="50" t="n"/>
      <c r="J144" s="68" t="n"/>
      <c r="K144" s="50" t="n"/>
      <c r="L144" s="65" t="n"/>
      <c r="M144" s="70">
        <f>VLOOKUP(L144,'SKU Data'!A:D,4,0)</f>
        <v/>
      </c>
    </row>
    <row r="145" ht="21.75" customFormat="1" customHeight="1" s="71">
      <c r="A145" s="86" t="n"/>
      <c r="B145" s="83" t="n"/>
      <c r="C145" s="50" t="n"/>
      <c r="D145" s="50" t="n"/>
      <c r="E145" s="68">
        <f>VLOOKUP(L145,'SKU Data'!A:B,2,0)</f>
        <v/>
      </c>
      <c r="F145" s="50" t="n"/>
      <c r="G145" s="126">
        <f>VLOOKUP(L145,'SKU Data'!A:C,3,0)</f>
        <v/>
      </c>
      <c r="H145" s="126">
        <f>F145*G145</f>
        <v/>
      </c>
      <c r="I145" s="50" t="n"/>
      <c r="J145" s="68" t="n"/>
      <c r="K145" s="50" t="n"/>
      <c r="L145" s="65" t="n"/>
      <c r="M145" s="70">
        <f>VLOOKUP(L145,'SKU Data'!A:D,4,0)</f>
        <v/>
      </c>
    </row>
    <row r="146" ht="21.75" customFormat="1" customHeight="1" s="71">
      <c r="A146" s="86" t="n"/>
      <c r="B146" s="83" t="n"/>
      <c r="C146" s="50" t="n"/>
      <c r="D146" s="50" t="n"/>
      <c r="E146" s="68">
        <f>VLOOKUP(L146,'SKU Data'!A:B,2,0)</f>
        <v/>
      </c>
      <c r="F146" s="50" t="n"/>
      <c r="G146" s="126">
        <f>VLOOKUP(L146,'SKU Data'!A:C,3,0)</f>
        <v/>
      </c>
      <c r="H146" s="126">
        <f>F146*G146</f>
        <v/>
      </c>
      <c r="I146" s="50" t="n"/>
      <c r="J146" s="68" t="n"/>
      <c r="K146" s="50" t="n"/>
      <c r="L146" s="65" t="n"/>
      <c r="M146" s="70">
        <f>VLOOKUP(L146,'SKU Data'!A:D,4,0)</f>
        <v/>
      </c>
    </row>
    <row r="147" ht="21.75" customFormat="1" customHeight="1" s="71">
      <c r="A147" s="86" t="n"/>
      <c r="B147" s="83" t="n"/>
      <c r="C147" s="50" t="n"/>
      <c r="D147" s="50" t="n"/>
      <c r="E147" s="68">
        <f>VLOOKUP(L147,'SKU Data'!A:B,2,0)</f>
        <v/>
      </c>
      <c r="F147" s="50" t="n"/>
      <c r="G147" s="126">
        <f>VLOOKUP(L147,'SKU Data'!A:C,3,0)</f>
        <v/>
      </c>
      <c r="H147" s="126">
        <f>F147*G147</f>
        <v/>
      </c>
      <c r="I147" s="50" t="n"/>
      <c r="J147" s="68" t="n"/>
      <c r="K147" s="50" t="n"/>
      <c r="L147" s="65" t="n"/>
      <c r="M147" s="70">
        <f>VLOOKUP(L147,'SKU Data'!A:D,4,0)</f>
        <v/>
      </c>
    </row>
    <row r="148" ht="21.75" customFormat="1" customHeight="1" s="71">
      <c r="A148" s="86" t="n"/>
      <c r="B148" s="83" t="n"/>
      <c r="C148" s="50" t="n"/>
      <c r="D148" s="50" t="n"/>
      <c r="E148" s="68">
        <f>VLOOKUP(L148,'SKU Data'!A:B,2,0)</f>
        <v/>
      </c>
      <c r="F148" s="50" t="n"/>
      <c r="G148" s="126">
        <f>VLOOKUP(L148,'SKU Data'!A:C,3,0)</f>
        <v/>
      </c>
      <c r="H148" s="126">
        <f>F148*G148</f>
        <v/>
      </c>
      <c r="I148" s="50" t="n"/>
      <c r="J148" s="68" t="n"/>
      <c r="K148" s="50" t="n"/>
      <c r="L148" s="65" t="n"/>
      <c r="M148" s="70">
        <f>VLOOKUP(L148,'SKU Data'!A:D,4,0)</f>
        <v/>
      </c>
    </row>
    <row r="149" ht="21.75" customFormat="1" customHeight="1" s="71">
      <c r="A149" s="86" t="n"/>
      <c r="B149" s="83" t="n"/>
      <c r="C149" s="50" t="n"/>
      <c r="D149" s="50" t="n"/>
      <c r="E149" s="68">
        <f>VLOOKUP(L149,'SKU Data'!A:B,2,0)</f>
        <v/>
      </c>
      <c r="F149" s="50" t="n"/>
      <c r="G149" s="126">
        <f>VLOOKUP(L149,'SKU Data'!A:C,3,0)</f>
        <v/>
      </c>
      <c r="H149" s="126">
        <f>F149*G149</f>
        <v/>
      </c>
      <c r="I149" s="50" t="n"/>
      <c r="J149" s="68" t="n"/>
      <c r="K149" s="50" t="n"/>
      <c r="L149" s="65" t="n"/>
      <c r="M149" s="70">
        <f>VLOOKUP(L149,'SKU Data'!A:D,4,0)</f>
        <v/>
      </c>
    </row>
    <row r="150" ht="21.75" customFormat="1" customHeight="1" s="71">
      <c r="A150" s="86" t="n"/>
      <c r="B150" s="83" t="n"/>
      <c r="C150" s="50" t="n"/>
      <c r="D150" s="50" t="n"/>
      <c r="E150" s="68">
        <f>VLOOKUP(L150,'SKU Data'!A:B,2,0)</f>
        <v/>
      </c>
      <c r="F150" s="50" t="n"/>
      <c r="G150" s="126">
        <f>VLOOKUP(L150,'SKU Data'!A:C,3,0)</f>
        <v/>
      </c>
      <c r="H150" s="126">
        <f>F150*G150</f>
        <v/>
      </c>
      <c r="I150" s="50" t="n"/>
      <c r="J150" s="68" t="n"/>
      <c r="K150" s="50" t="n"/>
      <c r="L150" s="65" t="n"/>
      <c r="M150" s="70">
        <f>VLOOKUP(L150,'SKU Data'!A:D,4,0)</f>
        <v/>
      </c>
    </row>
    <row r="151" ht="21.75" customFormat="1" customHeight="1" s="71">
      <c r="A151" s="86" t="n"/>
      <c r="B151" s="83" t="n"/>
      <c r="C151" s="50" t="n"/>
      <c r="D151" s="50" t="n"/>
      <c r="E151" s="68">
        <f>VLOOKUP(L151,'SKU Data'!A:B,2,0)</f>
        <v/>
      </c>
      <c r="F151" s="50" t="n"/>
      <c r="G151" s="126">
        <f>VLOOKUP(L151,'SKU Data'!A:C,3,0)</f>
        <v/>
      </c>
      <c r="H151" s="126">
        <f>F151*G151</f>
        <v/>
      </c>
      <c r="I151" s="50" t="n"/>
      <c r="J151" s="68" t="n"/>
      <c r="K151" s="50" t="n"/>
      <c r="L151" s="65" t="n"/>
      <c r="M151" s="70">
        <f>VLOOKUP(L151,'SKU Data'!A:D,4,0)</f>
        <v/>
      </c>
    </row>
    <row r="152" ht="21.75" customFormat="1" customHeight="1" s="71">
      <c r="A152" s="86" t="n"/>
      <c r="B152" s="83" t="n"/>
      <c r="C152" s="50" t="n"/>
      <c r="D152" s="50" t="n"/>
      <c r="E152" s="68">
        <f>VLOOKUP(L152,'SKU Data'!A:B,2,0)</f>
        <v/>
      </c>
      <c r="F152" s="50" t="n"/>
      <c r="G152" s="126">
        <f>VLOOKUP(L152,'SKU Data'!A:C,3,0)</f>
        <v/>
      </c>
      <c r="H152" s="126">
        <f>F152*G152</f>
        <v/>
      </c>
      <c r="I152" s="50" t="n"/>
      <c r="J152" s="68" t="n"/>
      <c r="K152" s="50" t="n"/>
      <c r="L152" s="65" t="n"/>
      <c r="M152" s="70">
        <f>VLOOKUP(L152,'SKU Data'!A:D,4,0)</f>
        <v/>
      </c>
    </row>
    <row r="153" ht="21.75" customFormat="1" customHeight="1" s="71">
      <c r="A153" s="86" t="n"/>
      <c r="B153" s="83" t="n"/>
      <c r="C153" s="50" t="n"/>
      <c r="D153" s="50" t="n"/>
      <c r="E153" s="68">
        <f>VLOOKUP(L153,'SKU Data'!A:B,2,0)</f>
        <v/>
      </c>
      <c r="F153" s="50" t="n"/>
      <c r="G153" s="126">
        <f>VLOOKUP(L153,'SKU Data'!A:C,3,0)</f>
        <v/>
      </c>
      <c r="H153" s="126">
        <f>F153*G153</f>
        <v/>
      </c>
      <c r="I153" s="50" t="n"/>
      <c r="J153" s="68" t="n"/>
      <c r="K153" s="50" t="n"/>
      <c r="L153" s="65" t="n"/>
      <c r="M153" s="70">
        <f>VLOOKUP(L153,'SKU Data'!A:D,4,0)</f>
        <v/>
      </c>
    </row>
    <row r="154" ht="21.75" customFormat="1" customHeight="1" s="71">
      <c r="A154" s="86" t="n"/>
      <c r="B154" s="83" t="n"/>
      <c r="C154" s="50" t="n"/>
      <c r="D154" s="50" t="n"/>
      <c r="E154" s="68">
        <f>VLOOKUP(L154,'SKU Data'!A:B,2,0)</f>
        <v/>
      </c>
      <c r="F154" s="50" t="n"/>
      <c r="G154" s="126">
        <f>VLOOKUP(L154,'SKU Data'!A:C,3,0)</f>
        <v/>
      </c>
      <c r="H154" s="126">
        <f>F154*G154</f>
        <v/>
      </c>
      <c r="I154" s="50" t="n"/>
      <c r="J154" s="68" t="n"/>
      <c r="K154" s="50" t="n"/>
      <c r="L154" s="65" t="n"/>
      <c r="M154" s="70">
        <f>VLOOKUP(L154,'SKU Data'!A:D,4,0)</f>
        <v/>
      </c>
    </row>
    <row r="155" ht="21.75" customFormat="1" customHeight="1" s="71">
      <c r="A155" s="86" t="n"/>
      <c r="B155" s="83" t="n"/>
      <c r="C155" s="50" t="n"/>
      <c r="D155" s="50" t="n"/>
      <c r="E155" s="68">
        <f>VLOOKUP(L155,'SKU Data'!A:B,2,0)</f>
        <v/>
      </c>
      <c r="F155" s="50" t="n"/>
      <c r="G155" s="126">
        <f>VLOOKUP(L155,'SKU Data'!A:C,3,0)</f>
        <v/>
      </c>
      <c r="H155" s="126">
        <f>F155*G155</f>
        <v/>
      </c>
      <c r="I155" s="50" t="n"/>
      <c r="J155" s="68" t="n"/>
      <c r="K155" s="50" t="n"/>
      <c r="L155" s="65" t="n"/>
      <c r="M155" s="70">
        <f>VLOOKUP(L155,'SKU Data'!A:D,4,0)</f>
        <v/>
      </c>
    </row>
    <row r="156" ht="21.75" customFormat="1" customHeight="1" s="71">
      <c r="A156" s="86" t="n"/>
      <c r="B156" s="83" t="n"/>
      <c r="C156" s="50" t="n"/>
      <c r="D156" s="50" t="n"/>
      <c r="E156" s="68">
        <f>VLOOKUP(L156,'SKU Data'!A:B,2,0)</f>
        <v/>
      </c>
      <c r="F156" s="50" t="n"/>
      <c r="G156" s="126">
        <f>VLOOKUP(L156,'SKU Data'!A:C,3,0)</f>
        <v/>
      </c>
      <c r="H156" s="126">
        <f>F156*G156</f>
        <v/>
      </c>
      <c r="I156" s="50" t="n"/>
      <c r="J156" s="68" t="n"/>
      <c r="K156" s="50" t="n"/>
      <c r="L156" s="65" t="n"/>
      <c r="M156" s="70">
        <f>VLOOKUP(L156,'SKU Data'!A:D,4,0)</f>
        <v/>
      </c>
    </row>
    <row r="157" ht="21.75" customFormat="1" customHeight="1" s="71">
      <c r="A157" s="86" t="n"/>
      <c r="B157" s="83" t="n"/>
      <c r="C157" s="50" t="n"/>
      <c r="D157" s="50" t="n"/>
      <c r="E157" s="68">
        <f>VLOOKUP(L157,'SKU Data'!A:B,2,0)</f>
        <v/>
      </c>
      <c r="F157" s="50" t="n"/>
      <c r="G157" s="126">
        <f>VLOOKUP(L157,'SKU Data'!A:C,3,0)</f>
        <v/>
      </c>
      <c r="H157" s="126">
        <f>F157*G157</f>
        <v/>
      </c>
      <c r="I157" s="50" t="n"/>
      <c r="J157" s="68" t="n"/>
      <c r="K157" s="50" t="n"/>
      <c r="L157" s="65" t="n"/>
      <c r="M157" s="70">
        <f>VLOOKUP(L157,'SKU Data'!A:D,4,0)</f>
        <v/>
      </c>
    </row>
    <row r="158" ht="21.75" customFormat="1" customHeight="1" s="71">
      <c r="A158" s="86" t="n"/>
      <c r="B158" s="83" t="n"/>
      <c r="C158" s="50" t="n"/>
      <c r="D158" s="50" t="n"/>
      <c r="E158" s="68">
        <f>VLOOKUP(L158,'SKU Data'!A:B,2,0)</f>
        <v/>
      </c>
      <c r="F158" s="50" t="n"/>
      <c r="G158" s="126">
        <f>VLOOKUP(L158,'SKU Data'!A:C,3,0)</f>
        <v/>
      </c>
      <c r="H158" s="126">
        <f>F158*G158</f>
        <v/>
      </c>
      <c r="I158" s="50" t="n"/>
      <c r="J158" s="68" t="n"/>
      <c r="K158" s="50" t="n"/>
      <c r="L158" s="65" t="n"/>
      <c r="M158" s="70">
        <f>VLOOKUP(L158,'SKU Data'!A:D,4,0)</f>
        <v/>
      </c>
    </row>
    <row r="159" ht="21.75" customFormat="1" customHeight="1" s="71">
      <c r="A159" s="86" t="n"/>
      <c r="B159" s="83" t="n"/>
      <c r="C159" s="50" t="n"/>
      <c r="D159" s="50" t="n"/>
      <c r="E159" s="68">
        <f>VLOOKUP(L159,'SKU Data'!A:B,2,0)</f>
        <v/>
      </c>
      <c r="F159" s="50" t="n"/>
      <c r="G159" s="126">
        <f>VLOOKUP(L159,'SKU Data'!A:C,3,0)</f>
        <v/>
      </c>
      <c r="H159" s="126">
        <f>F159*G159</f>
        <v/>
      </c>
      <c r="I159" s="50" t="n"/>
      <c r="J159" s="68" t="n"/>
      <c r="K159" s="50" t="n"/>
      <c r="L159" s="65" t="n"/>
      <c r="M159" s="70">
        <f>VLOOKUP(L159,'SKU Data'!A:D,4,0)</f>
        <v/>
      </c>
    </row>
    <row r="160" ht="21.75" customFormat="1" customHeight="1" s="71">
      <c r="A160" s="86" t="n"/>
      <c r="B160" s="83" t="n"/>
      <c r="C160" s="50" t="n"/>
      <c r="D160" s="50" t="n"/>
      <c r="E160" s="68">
        <f>VLOOKUP(L160,'SKU Data'!A:B,2,0)</f>
        <v/>
      </c>
      <c r="F160" s="50" t="n"/>
      <c r="G160" s="126">
        <f>VLOOKUP(L160,'SKU Data'!A:C,3,0)</f>
        <v/>
      </c>
      <c r="H160" s="126">
        <f>F160*G160</f>
        <v/>
      </c>
      <c r="I160" s="50" t="n"/>
      <c r="J160" s="68" t="n"/>
      <c r="K160" s="50" t="n"/>
      <c r="L160" s="65" t="n"/>
      <c r="M160" s="70">
        <f>VLOOKUP(L160,'SKU Data'!A:D,4,0)</f>
        <v/>
      </c>
    </row>
    <row r="161" ht="21.75" customFormat="1" customHeight="1" s="71">
      <c r="A161" s="86" t="n"/>
      <c r="B161" s="83" t="n"/>
      <c r="C161" s="50" t="n"/>
      <c r="D161" s="50" t="n"/>
      <c r="E161" s="68">
        <f>VLOOKUP(L161,'SKU Data'!A:B,2,0)</f>
        <v/>
      </c>
      <c r="F161" s="50" t="n"/>
      <c r="G161" s="126">
        <f>VLOOKUP(L161,'SKU Data'!A:C,3,0)</f>
        <v/>
      </c>
      <c r="H161" s="126">
        <f>F161*G161</f>
        <v/>
      </c>
      <c r="I161" s="50" t="n"/>
      <c r="J161" s="68" t="n"/>
      <c r="K161" s="50" t="n"/>
      <c r="L161" s="65" t="n"/>
      <c r="M161" s="70">
        <f>VLOOKUP(L161,'SKU Data'!A:D,4,0)</f>
        <v/>
      </c>
    </row>
    <row r="162" ht="21.75" customFormat="1" customHeight="1" s="71">
      <c r="A162" s="86" t="n"/>
      <c r="B162" s="83" t="n"/>
      <c r="C162" s="50" t="n"/>
      <c r="D162" s="50" t="n"/>
      <c r="E162" s="68">
        <f>VLOOKUP(L162,'SKU Data'!A:B,2,0)</f>
        <v/>
      </c>
      <c r="F162" s="50" t="n"/>
      <c r="G162" s="126">
        <f>VLOOKUP(L162,'SKU Data'!A:C,3,0)</f>
        <v/>
      </c>
      <c r="H162" s="126">
        <f>F162*G162</f>
        <v/>
      </c>
      <c r="I162" s="50" t="n"/>
      <c r="J162" s="68" t="n"/>
      <c r="K162" s="50" t="n"/>
      <c r="L162" s="65" t="n"/>
      <c r="M162" s="70">
        <f>VLOOKUP(L162,'SKU Data'!A:D,4,0)</f>
        <v/>
      </c>
    </row>
    <row r="163" ht="21.75" customFormat="1" customHeight="1" s="71">
      <c r="A163" s="86" t="n"/>
      <c r="B163" s="83" t="n"/>
      <c r="C163" s="50" t="n"/>
      <c r="D163" s="50" t="n"/>
      <c r="E163" s="68">
        <f>VLOOKUP(L163,'SKU Data'!A:B,2,0)</f>
        <v/>
      </c>
      <c r="F163" s="50" t="n"/>
      <c r="G163" s="126">
        <f>VLOOKUP(L163,'SKU Data'!A:C,3,0)</f>
        <v/>
      </c>
      <c r="H163" s="126">
        <f>F163*G163</f>
        <v/>
      </c>
      <c r="I163" s="50" t="n"/>
      <c r="J163" s="68" t="n"/>
      <c r="K163" s="50" t="n"/>
      <c r="L163" s="65" t="n"/>
      <c r="M163" s="70">
        <f>VLOOKUP(L163,'SKU Data'!A:D,4,0)</f>
        <v/>
      </c>
    </row>
    <row r="164" ht="21.75" customFormat="1" customHeight="1" s="71">
      <c r="A164" s="86" t="n"/>
      <c r="B164" s="83" t="n"/>
      <c r="C164" s="50" t="n"/>
      <c r="D164" s="50" t="n"/>
      <c r="E164" s="68">
        <f>VLOOKUP(L164,'SKU Data'!A:B,2,0)</f>
        <v/>
      </c>
      <c r="F164" s="50" t="n"/>
      <c r="G164" s="126">
        <f>VLOOKUP(L164,'SKU Data'!A:C,3,0)</f>
        <v/>
      </c>
      <c r="H164" s="126">
        <f>F164*G164</f>
        <v/>
      </c>
      <c r="I164" s="50" t="n"/>
      <c r="J164" s="68" t="n"/>
      <c r="K164" s="50" t="n"/>
      <c r="L164" s="65" t="n"/>
      <c r="M164" s="70">
        <f>VLOOKUP(L164,'SKU Data'!A:D,4,0)</f>
        <v/>
      </c>
    </row>
    <row r="165" ht="21.75" customFormat="1" customHeight="1" s="71">
      <c r="A165" s="86" t="n"/>
      <c r="B165" s="83" t="n"/>
      <c r="C165" s="50" t="n"/>
      <c r="D165" s="50" t="n"/>
      <c r="E165" s="68">
        <f>VLOOKUP(L165,'SKU Data'!A:B,2,0)</f>
        <v/>
      </c>
      <c r="F165" s="50" t="n"/>
      <c r="G165" s="126">
        <f>VLOOKUP(L165,'SKU Data'!A:C,3,0)</f>
        <v/>
      </c>
      <c r="H165" s="126">
        <f>F165*G165</f>
        <v/>
      </c>
      <c r="I165" s="50" t="n"/>
      <c r="J165" s="68" t="n"/>
      <c r="K165" s="50" t="n"/>
      <c r="L165" s="65" t="n"/>
      <c r="M165" s="70">
        <f>VLOOKUP(L165,'SKU Data'!A:D,4,0)</f>
        <v/>
      </c>
    </row>
    <row r="166" ht="21.75" customFormat="1" customHeight="1" s="71">
      <c r="A166" s="86" t="n"/>
      <c r="B166" s="83" t="n"/>
      <c r="C166" s="50" t="n"/>
      <c r="D166" s="50" t="n"/>
      <c r="E166" s="68">
        <f>VLOOKUP(L166,'SKU Data'!A:B,2,0)</f>
        <v/>
      </c>
      <c r="F166" s="50" t="n"/>
      <c r="G166" s="126">
        <f>VLOOKUP(L166,'SKU Data'!A:C,3,0)</f>
        <v/>
      </c>
      <c r="H166" s="126">
        <f>F166*G166</f>
        <v/>
      </c>
      <c r="I166" s="50" t="n"/>
      <c r="J166" s="68" t="n"/>
      <c r="K166" s="50" t="n"/>
      <c r="L166" s="65" t="n"/>
      <c r="M166" s="70">
        <f>VLOOKUP(L166,'SKU Data'!A:D,4,0)</f>
        <v/>
      </c>
    </row>
    <row r="167" ht="21.75" customFormat="1" customHeight="1" s="71">
      <c r="A167" s="86" t="n"/>
      <c r="B167" s="83" t="n"/>
      <c r="C167" s="50" t="n"/>
      <c r="D167" s="50" t="n"/>
      <c r="E167" s="68">
        <f>VLOOKUP(L167,'SKU Data'!A:B,2,0)</f>
        <v/>
      </c>
      <c r="F167" s="50" t="n"/>
      <c r="G167" s="126">
        <f>VLOOKUP(L167,'SKU Data'!A:C,3,0)</f>
        <v/>
      </c>
      <c r="H167" s="126">
        <f>F167*G167</f>
        <v/>
      </c>
      <c r="I167" s="50" t="n"/>
      <c r="J167" s="68" t="n"/>
      <c r="K167" s="50" t="n"/>
      <c r="L167" s="65" t="n"/>
      <c r="M167" s="70">
        <f>VLOOKUP(L167,'SKU Data'!A:D,4,0)</f>
        <v/>
      </c>
    </row>
    <row r="168" ht="21.75" customFormat="1" customHeight="1" s="71">
      <c r="A168" s="86" t="n"/>
      <c r="B168" s="83" t="n"/>
      <c r="C168" s="50" t="n"/>
      <c r="D168" s="50" t="n"/>
      <c r="E168" s="68">
        <f>VLOOKUP(L168,'SKU Data'!A:B,2,0)</f>
        <v/>
      </c>
      <c r="F168" s="50" t="n"/>
      <c r="G168" s="126">
        <f>VLOOKUP(L168,'SKU Data'!A:C,3,0)</f>
        <v/>
      </c>
      <c r="H168" s="126">
        <f>F168*G168</f>
        <v/>
      </c>
      <c r="I168" s="50" t="n"/>
      <c r="J168" s="68" t="n"/>
      <c r="K168" s="50" t="n"/>
      <c r="L168" s="65" t="n"/>
      <c r="M168" s="70">
        <f>VLOOKUP(L168,'SKU Data'!A:D,4,0)</f>
        <v/>
      </c>
    </row>
    <row r="169" ht="21.75" customFormat="1" customHeight="1" s="71">
      <c r="A169" s="86" t="n"/>
      <c r="B169" s="83" t="n"/>
      <c r="C169" s="50" t="n"/>
      <c r="D169" s="50" t="n"/>
      <c r="E169" s="68">
        <f>VLOOKUP(L169,'SKU Data'!A:B,2,0)</f>
        <v/>
      </c>
      <c r="F169" s="50" t="n"/>
      <c r="G169" s="126">
        <f>VLOOKUP(L169,'SKU Data'!A:C,3,0)</f>
        <v/>
      </c>
      <c r="H169" s="126">
        <f>F169*G169</f>
        <v/>
      </c>
      <c r="I169" s="50" t="n"/>
      <c r="J169" s="68" t="n"/>
      <c r="K169" s="50" t="n"/>
      <c r="L169" s="65" t="n"/>
      <c r="M169" s="70">
        <f>VLOOKUP(L169,'SKU Data'!A:D,4,0)</f>
        <v/>
      </c>
    </row>
    <row r="170" ht="21.75" customFormat="1" customHeight="1" s="71">
      <c r="A170" s="86" t="n"/>
      <c r="B170" s="83" t="n"/>
      <c r="C170" s="50" t="n"/>
      <c r="D170" s="50" t="n"/>
      <c r="E170" s="68">
        <f>VLOOKUP(L170,'SKU Data'!A:B,2,0)</f>
        <v/>
      </c>
      <c r="F170" s="50" t="n"/>
      <c r="G170" s="126">
        <f>VLOOKUP(L170,'SKU Data'!A:C,3,0)</f>
        <v/>
      </c>
      <c r="H170" s="126">
        <f>F170*G170</f>
        <v/>
      </c>
      <c r="I170" s="50" t="n"/>
      <c r="J170" s="68" t="n"/>
      <c r="K170" s="50" t="n"/>
      <c r="L170" s="65" t="n"/>
      <c r="M170" s="70">
        <f>VLOOKUP(L170,'SKU Data'!A:D,4,0)</f>
        <v/>
      </c>
    </row>
    <row r="171" ht="21.75" customFormat="1" customHeight="1" s="71">
      <c r="A171" s="86" t="n"/>
      <c r="B171" s="83" t="n"/>
      <c r="C171" s="50" t="n"/>
      <c r="D171" s="50" t="n"/>
      <c r="E171" s="68">
        <f>VLOOKUP(L171,'SKU Data'!A:B,2,0)</f>
        <v/>
      </c>
      <c r="F171" s="50" t="n"/>
      <c r="G171" s="126">
        <f>VLOOKUP(L171,'SKU Data'!A:C,3,0)</f>
        <v/>
      </c>
      <c r="H171" s="126">
        <f>F171*G171</f>
        <v/>
      </c>
      <c r="I171" s="50" t="n"/>
      <c r="J171" s="68" t="n"/>
      <c r="K171" s="50" t="n"/>
      <c r="L171" s="65" t="n"/>
      <c r="M171" s="70">
        <f>VLOOKUP(L171,'SKU Data'!A:D,4,0)</f>
        <v/>
      </c>
    </row>
    <row r="172" ht="21.75" customFormat="1" customHeight="1" s="71">
      <c r="A172" s="86" t="n"/>
      <c r="B172" s="83" t="n"/>
      <c r="C172" s="50" t="n"/>
      <c r="D172" s="50" t="n"/>
      <c r="E172" s="68">
        <f>VLOOKUP(L172,'SKU Data'!A:B,2,0)</f>
        <v/>
      </c>
      <c r="F172" s="50" t="n"/>
      <c r="G172" s="126">
        <f>VLOOKUP(L172,'SKU Data'!A:C,3,0)</f>
        <v/>
      </c>
      <c r="H172" s="126">
        <f>F172*G172</f>
        <v/>
      </c>
      <c r="I172" s="50" t="n"/>
      <c r="J172" s="68" t="n"/>
      <c r="K172" s="50" t="n"/>
      <c r="L172" s="65" t="n"/>
      <c r="M172" s="70">
        <f>VLOOKUP(L172,'SKU Data'!A:D,4,0)</f>
        <v/>
      </c>
    </row>
    <row r="173" ht="21.75" customFormat="1" customHeight="1" s="71">
      <c r="A173" s="86" t="n"/>
      <c r="B173" s="83" t="n"/>
      <c r="C173" s="50" t="n"/>
      <c r="D173" s="50" t="n"/>
      <c r="E173" s="68">
        <f>VLOOKUP(L173,'SKU Data'!A:B,2,0)</f>
        <v/>
      </c>
      <c r="F173" s="50" t="n"/>
      <c r="G173" s="126">
        <f>VLOOKUP(L173,'SKU Data'!A:C,3,0)</f>
        <v/>
      </c>
      <c r="H173" s="126">
        <f>F173*G173</f>
        <v/>
      </c>
      <c r="I173" s="50" t="n"/>
      <c r="J173" s="68" t="n"/>
      <c r="K173" s="50" t="n"/>
      <c r="L173" s="65" t="n"/>
      <c r="M173" s="70">
        <f>VLOOKUP(L173,'SKU Data'!A:D,4,0)</f>
        <v/>
      </c>
    </row>
    <row r="174" ht="21.75" customFormat="1" customHeight="1" s="71">
      <c r="A174" s="86" t="n"/>
      <c r="B174" s="83" t="n"/>
      <c r="C174" s="50" t="n"/>
      <c r="D174" s="50" t="n"/>
      <c r="E174" s="68">
        <f>VLOOKUP(L174,'SKU Data'!A:B,2,0)</f>
        <v/>
      </c>
      <c r="F174" s="50" t="n"/>
      <c r="G174" s="126">
        <f>VLOOKUP(L174,'SKU Data'!A:C,3,0)</f>
        <v/>
      </c>
      <c r="H174" s="126">
        <f>F174*G174</f>
        <v/>
      </c>
      <c r="I174" s="50" t="n"/>
      <c r="J174" s="68" t="n"/>
      <c r="K174" s="50" t="n"/>
      <c r="L174" s="65" t="n"/>
      <c r="M174" s="70">
        <f>VLOOKUP(L174,'SKU Data'!A:D,4,0)</f>
        <v/>
      </c>
    </row>
    <row r="175" ht="21.75" customFormat="1" customHeight="1" s="71">
      <c r="A175" s="86" t="n"/>
      <c r="B175" s="83" t="n"/>
      <c r="C175" s="50" t="n"/>
      <c r="D175" s="50" t="n"/>
      <c r="E175" s="68">
        <f>VLOOKUP(L175,'SKU Data'!A:B,2,0)</f>
        <v/>
      </c>
      <c r="F175" s="50" t="n"/>
      <c r="G175" s="126">
        <f>VLOOKUP(L175,'SKU Data'!A:C,3,0)</f>
        <v/>
      </c>
      <c r="H175" s="126">
        <f>F175*G175</f>
        <v/>
      </c>
      <c r="I175" s="50" t="n"/>
      <c r="J175" s="68" t="n"/>
      <c r="K175" s="50" t="n"/>
      <c r="L175" s="65" t="n"/>
      <c r="M175" s="70">
        <f>VLOOKUP(L175,'SKU Data'!A:D,4,0)</f>
        <v/>
      </c>
    </row>
    <row r="176" ht="21.75" customFormat="1" customHeight="1" s="71">
      <c r="A176" s="86" t="n"/>
      <c r="B176" s="83" t="n"/>
      <c r="C176" s="50" t="n"/>
      <c r="D176" s="50" t="n"/>
      <c r="E176" s="68">
        <f>VLOOKUP(L176,'SKU Data'!A:B,2,0)</f>
        <v/>
      </c>
      <c r="F176" s="50" t="n"/>
      <c r="G176" s="126">
        <f>VLOOKUP(L176,'SKU Data'!A:C,3,0)</f>
        <v/>
      </c>
      <c r="H176" s="126">
        <f>F176*G176</f>
        <v/>
      </c>
      <c r="I176" s="50" t="n"/>
      <c r="J176" s="68" t="n"/>
      <c r="K176" s="50" t="n"/>
      <c r="L176" s="65" t="n"/>
      <c r="M176" s="70">
        <f>VLOOKUP(L176,'SKU Data'!A:D,4,0)</f>
        <v/>
      </c>
    </row>
    <row r="177" ht="21.75" customFormat="1" customHeight="1" s="71">
      <c r="A177" s="86" t="n"/>
      <c r="B177" s="83" t="n"/>
      <c r="C177" s="50" t="n"/>
      <c r="D177" s="50" t="n"/>
      <c r="E177" s="68">
        <f>VLOOKUP(L177,'SKU Data'!A:B,2,0)</f>
        <v/>
      </c>
      <c r="F177" s="50" t="n"/>
      <c r="G177" s="126">
        <f>VLOOKUP(L177,'SKU Data'!A:C,3,0)</f>
        <v/>
      </c>
      <c r="H177" s="126">
        <f>F177*G177</f>
        <v/>
      </c>
      <c r="I177" s="50" t="n"/>
      <c r="J177" s="68" t="n"/>
      <c r="K177" s="50" t="n"/>
      <c r="L177" s="65" t="n"/>
      <c r="M177" s="70">
        <f>VLOOKUP(L177,'SKU Data'!A:D,4,0)</f>
        <v/>
      </c>
    </row>
    <row r="178" ht="21.75" customFormat="1" customHeight="1" s="71">
      <c r="A178" s="86" t="n"/>
      <c r="B178" s="83" t="n"/>
      <c r="C178" s="50" t="n"/>
      <c r="D178" s="50" t="n"/>
      <c r="E178" s="68">
        <f>VLOOKUP(L178,'SKU Data'!A:B,2,0)</f>
        <v/>
      </c>
      <c r="F178" s="50" t="n"/>
      <c r="G178" s="126">
        <f>VLOOKUP(L178,'SKU Data'!A:C,3,0)</f>
        <v/>
      </c>
      <c r="H178" s="126">
        <f>F178*G178</f>
        <v/>
      </c>
      <c r="I178" s="50" t="n"/>
      <c r="J178" s="68" t="n"/>
      <c r="K178" s="50" t="n"/>
      <c r="L178" s="65" t="n"/>
      <c r="M178" s="70">
        <f>VLOOKUP(L178,'SKU Data'!A:D,4,0)</f>
        <v/>
      </c>
    </row>
    <row r="179" ht="21.75" customFormat="1" customHeight="1" s="71">
      <c r="A179" s="86" t="n"/>
      <c r="B179" s="83" t="n"/>
      <c r="C179" s="50" t="n"/>
      <c r="D179" s="50" t="n"/>
      <c r="E179" s="68">
        <f>VLOOKUP(L179,'SKU Data'!A:B,2,0)</f>
        <v/>
      </c>
      <c r="F179" s="50" t="n"/>
      <c r="G179" s="126">
        <f>VLOOKUP(L179,'SKU Data'!A:C,3,0)</f>
        <v/>
      </c>
      <c r="H179" s="126">
        <f>F179*G179</f>
        <v/>
      </c>
      <c r="I179" s="50" t="n"/>
      <c r="J179" s="68" t="n"/>
      <c r="K179" s="50" t="n"/>
      <c r="L179" s="65" t="n"/>
      <c r="M179" s="70">
        <f>VLOOKUP(L179,'SKU Data'!A:D,4,0)</f>
        <v/>
      </c>
    </row>
    <row r="180" ht="21.75" customFormat="1" customHeight="1" s="71">
      <c r="A180" s="86" t="n"/>
      <c r="B180" s="83" t="n"/>
      <c r="C180" s="50" t="n"/>
      <c r="D180" s="50" t="n"/>
      <c r="E180" s="68">
        <f>VLOOKUP(L180,'SKU Data'!A:B,2,0)</f>
        <v/>
      </c>
      <c r="F180" s="50" t="n"/>
      <c r="G180" s="126">
        <f>VLOOKUP(L180,'SKU Data'!A:C,3,0)</f>
        <v/>
      </c>
      <c r="H180" s="126">
        <f>F180*G180</f>
        <v/>
      </c>
      <c r="I180" s="50" t="n"/>
      <c r="J180" s="68" t="n"/>
      <c r="K180" s="50" t="n"/>
      <c r="L180" s="65" t="n"/>
      <c r="M180" s="70">
        <f>VLOOKUP(L180,'SKU Data'!A:D,4,0)</f>
        <v/>
      </c>
    </row>
    <row r="181" ht="21.75" customFormat="1" customHeight="1" s="71">
      <c r="A181" s="86" t="n"/>
      <c r="B181" s="83" t="n"/>
      <c r="C181" s="50" t="n"/>
      <c r="D181" s="50" t="n"/>
      <c r="E181" s="68">
        <f>VLOOKUP(L181,'SKU Data'!A:B,2,0)</f>
        <v/>
      </c>
      <c r="F181" s="50" t="n"/>
      <c r="G181" s="126">
        <f>VLOOKUP(L181,'SKU Data'!A:C,3,0)</f>
        <v/>
      </c>
      <c r="H181" s="126">
        <f>F181*G181</f>
        <v/>
      </c>
      <c r="I181" s="50" t="n"/>
      <c r="J181" s="68" t="n"/>
      <c r="K181" s="50" t="n"/>
      <c r="L181" s="65" t="n"/>
      <c r="M181" s="70">
        <f>VLOOKUP(L181,'SKU Data'!A:D,4,0)</f>
        <v/>
      </c>
    </row>
    <row r="182" ht="21.75" customFormat="1" customHeight="1" s="71">
      <c r="A182" s="86" t="n"/>
      <c r="B182" s="83" t="n"/>
      <c r="C182" s="50" t="n"/>
      <c r="D182" s="50" t="n"/>
      <c r="E182" s="68">
        <f>VLOOKUP(L182,'SKU Data'!A:B,2,0)</f>
        <v/>
      </c>
      <c r="F182" s="50" t="n"/>
      <c r="G182" s="126">
        <f>VLOOKUP(L182,'SKU Data'!A:C,3,0)</f>
        <v/>
      </c>
      <c r="H182" s="126">
        <f>F182*G182</f>
        <v/>
      </c>
      <c r="I182" s="50" t="n"/>
      <c r="J182" s="68" t="n"/>
      <c r="K182" s="50" t="n"/>
      <c r="L182" s="65" t="n"/>
      <c r="M182" s="70">
        <f>VLOOKUP(L182,'SKU Data'!A:D,4,0)</f>
        <v/>
      </c>
    </row>
    <row r="183" ht="21.75" customFormat="1" customHeight="1" s="71">
      <c r="A183" s="86" t="n"/>
      <c r="B183" s="83" t="n"/>
      <c r="C183" s="50" t="n"/>
      <c r="D183" s="50" t="n"/>
      <c r="E183" s="68">
        <f>VLOOKUP(L183,'SKU Data'!A:B,2,0)</f>
        <v/>
      </c>
      <c r="F183" s="50" t="n"/>
      <c r="G183" s="126">
        <f>VLOOKUP(L183,'SKU Data'!A:C,3,0)</f>
        <v/>
      </c>
      <c r="H183" s="126">
        <f>F183*G183</f>
        <v/>
      </c>
      <c r="I183" s="50" t="n"/>
      <c r="J183" s="68" t="n"/>
      <c r="K183" s="50" t="n"/>
      <c r="L183" s="65" t="n"/>
      <c r="M183" s="70">
        <f>VLOOKUP(L183,'SKU Data'!A:D,4,0)</f>
        <v/>
      </c>
    </row>
    <row r="184" ht="21.75" customFormat="1" customHeight="1" s="71">
      <c r="A184" s="86" t="n"/>
      <c r="B184" s="83" t="n"/>
      <c r="C184" s="50" t="n"/>
      <c r="D184" s="50" t="n"/>
      <c r="E184" s="68">
        <f>VLOOKUP(L184,'SKU Data'!A:B,2,0)</f>
        <v/>
      </c>
      <c r="F184" s="50" t="n"/>
      <c r="G184" s="126">
        <f>VLOOKUP(L184,'SKU Data'!A:C,3,0)</f>
        <v/>
      </c>
      <c r="H184" s="126">
        <f>F184*G184</f>
        <v/>
      </c>
      <c r="I184" s="50" t="n"/>
      <c r="J184" s="68" t="n"/>
      <c r="K184" s="50" t="n"/>
      <c r="L184" s="65" t="n"/>
      <c r="M184" s="70">
        <f>VLOOKUP(L184,'SKU Data'!A:D,4,0)</f>
        <v/>
      </c>
    </row>
    <row r="185" ht="21.75" customFormat="1" customHeight="1" s="71">
      <c r="A185" s="86" t="n"/>
      <c r="B185" s="83" t="n"/>
      <c r="C185" s="50" t="n"/>
      <c r="D185" s="50" t="n"/>
      <c r="E185" s="68">
        <f>VLOOKUP(L185,'SKU Data'!A:B,2,0)</f>
        <v/>
      </c>
      <c r="F185" s="50" t="n"/>
      <c r="G185" s="126">
        <f>VLOOKUP(L185,'SKU Data'!A:C,3,0)</f>
        <v/>
      </c>
      <c r="H185" s="126">
        <f>F185*G185</f>
        <v/>
      </c>
      <c r="I185" s="50" t="n"/>
      <c r="J185" s="68" t="n"/>
      <c r="K185" s="50" t="n"/>
      <c r="L185" s="65" t="n"/>
      <c r="M185" s="70">
        <f>VLOOKUP(L185,'SKU Data'!A:D,4,0)</f>
        <v/>
      </c>
    </row>
    <row r="186" ht="21.75" customFormat="1" customHeight="1" s="71">
      <c r="A186" s="86" t="n"/>
      <c r="B186" s="83" t="n"/>
      <c r="C186" s="50" t="n"/>
      <c r="D186" s="50" t="n"/>
      <c r="E186" s="68">
        <f>VLOOKUP(L186,'SKU Data'!A:B,2,0)</f>
        <v/>
      </c>
      <c r="F186" s="50" t="n"/>
      <c r="G186" s="126">
        <f>VLOOKUP(L186,'SKU Data'!A:C,3,0)</f>
        <v/>
      </c>
      <c r="H186" s="126">
        <f>F186*G186</f>
        <v/>
      </c>
      <c r="I186" s="50" t="n"/>
      <c r="J186" s="68" t="n"/>
      <c r="K186" s="50" t="n"/>
      <c r="L186" s="65" t="n"/>
      <c r="M186" s="70">
        <f>VLOOKUP(L186,'SKU Data'!A:D,4,0)</f>
        <v/>
      </c>
    </row>
    <row r="187" ht="21.75" customFormat="1" customHeight="1" s="71">
      <c r="A187" s="86" t="n"/>
      <c r="B187" s="83" t="n"/>
      <c r="C187" s="50" t="n"/>
      <c r="D187" s="50" t="n"/>
      <c r="E187" s="68">
        <f>VLOOKUP(L187,'SKU Data'!A:B,2,0)</f>
        <v/>
      </c>
      <c r="F187" s="50" t="n"/>
      <c r="G187" s="126">
        <f>VLOOKUP(L187,'SKU Data'!A:C,3,0)</f>
        <v/>
      </c>
      <c r="H187" s="126">
        <f>F187*G187</f>
        <v/>
      </c>
      <c r="I187" s="50" t="n"/>
      <c r="J187" s="68" t="n"/>
      <c r="K187" s="50" t="n"/>
      <c r="L187" s="65" t="n"/>
      <c r="M187" s="70">
        <f>VLOOKUP(L187,'SKU Data'!A:D,4,0)</f>
        <v/>
      </c>
    </row>
    <row r="188" ht="21.75" customFormat="1" customHeight="1" s="71">
      <c r="A188" s="86" t="n"/>
      <c r="B188" s="83" t="n"/>
      <c r="C188" s="50" t="n"/>
      <c r="D188" s="50" t="n"/>
      <c r="E188" s="68">
        <f>VLOOKUP(L188,'SKU Data'!A:B,2,0)</f>
        <v/>
      </c>
      <c r="F188" s="50" t="n"/>
      <c r="G188" s="126">
        <f>VLOOKUP(L188,'SKU Data'!A:C,3,0)</f>
        <v/>
      </c>
      <c r="H188" s="126">
        <f>F188*G188</f>
        <v/>
      </c>
      <c r="I188" s="50" t="n"/>
      <c r="J188" s="68" t="n"/>
      <c r="K188" s="50" t="n"/>
      <c r="L188" s="65" t="n"/>
      <c r="M188" s="70">
        <f>VLOOKUP(L188,'SKU Data'!A:D,4,0)</f>
        <v/>
      </c>
    </row>
    <row r="189" ht="21.75" customFormat="1" customHeight="1" s="71">
      <c r="A189" s="86" t="n"/>
      <c r="B189" s="83" t="n"/>
      <c r="C189" s="50" t="n"/>
      <c r="D189" s="50" t="n"/>
      <c r="E189" s="68">
        <f>VLOOKUP(L189,'SKU Data'!A:B,2,0)</f>
        <v/>
      </c>
      <c r="F189" s="50" t="n"/>
      <c r="G189" s="126">
        <f>VLOOKUP(L189,'SKU Data'!A:C,3,0)</f>
        <v/>
      </c>
      <c r="H189" s="126">
        <f>F189*G189</f>
        <v/>
      </c>
      <c r="I189" s="50" t="n"/>
      <c r="J189" s="68" t="n"/>
      <c r="K189" s="50" t="n"/>
      <c r="L189" s="65" t="n"/>
      <c r="M189" s="70">
        <f>VLOOKUP(L189,'SKU Data'!A:D,4,0)</f>
        <v/>
      </c>
    </row>
    <row r="190" ht="21.75" customFormat="1" customHeight="1" s="71">
      <c r="A190" s="86" t="n"/>
      <c r="B190" s="83" t="n"/>
      <c r="C190" s="50" t="n"/>
      <c r="D190" s="50" t="n"/>
      <c r="E190" s="68">
        <f>VLOOKUP(L190,'SKU Data'!A:B,2,0)</f>
        <v/>
      </c>
      <c r="F190" s="50" t="n"/>
      <c r="G190" s="126">
        <f>VLOOKUP(L190,'SKU Data'!A:C,3,0)</f>
        <v/>
      </c>
      <c r="H190" s="126">
        <f>F190*G190</f>
        <v/>
      </c>
      <c r="I190" s="50" t="n"/>
      <c r="J190" s="68" t="n"/>
      <c r="K190" s="50" t="n"/>
      <c r="L190" s="65" t="n"/>
      <c r="M190" s="70">
        <f>VLOOKUP(L190,'SKU Data'!A:D,4,0)</f>
        <v/>
      </c>
    </row>
    <row r="191" ht="21.75" customFormat="1" customHeight="1" s="71">
      <c r="A191" s="86" t="n"/>
      <c r="B191" s="83" t="n"/>
      <c r="C191" s="50" t="n"/>
      <c r="D191" s="50" t="n"/>
      <c r="E191" s="68">
        <f>VLOOKUP(L191,'SKU Data'!A:B,2,0)</f>
        <v/>
      </c>
      <c r="F191" s="50" t="n"/>
      <c r="G191" s="126">
        <f>VLOOKUP(L191,'SKU Data'!A:C,3,0)</f>
        <v/>
      </c>
      <c r="H191" s="126">
        <f>F191*G191</f>
        <v/>
      </c>
      <c r="I191" s="50" t="n"/>
      <c r="J191" s="68" t="n"/>
      <c r="K191" s="50" t="n"/>
      <c r="L191" s="65" t="n"/>
      <c r="M191" s="70">
        <f>VLOOKUP(L191,'SKU Data'!A:D,4,0)</f>
        <v/>
      </c>
    </row>
    <row r="192" ht="21.75" customFormat="1" customHeight="1" s="71">
      <c r="A192" s="86" t="n"/>
      <c r="B192" s="83" t="n"/>
      <c r="C192" s="50" t="n"/>
      <c r="D192" s="50" t="n"/>
      <c r="E192" s="68">
        <f>VLOOKUP(L192,'SKU Data'!A:B,2,0)</f>
        <v/>
      </c>
      <c r="F192" s="50" t="n"/>
      <c r="G192" s="126">
        <f>VLOOKUP(L192,'SKU Data'!A:C,3,0)</f>
        <v/>
      </c>
      <c r="H192" s="126">
        <f>F192*G192</f>
        <v/>
      </c>
      <c r="I192" s="50" t="n"/>
      <c r="J192" s="68" t="n"/>
      <c r="K192" s="50" t="n"/>
      <c r="L192" s="65" t="n"/>
      <c r="M192" s="70">
        <f>VLOOKUP(L192,'SKU Data'!A:D,4,0)</f>
        <v/>
      </c>
    </row>
    <row r="193" ht="21.75" customFormat="1" customHeight="1" s="71">
      <c r="A193" s="86" t="n"/>
      <c r="B193" s="83" t="n"/>
      <c r="C193" s="50" t="n"/>
      <c r="D193" s="50" t="n"/>
      <c r="E193" s="68">
        <f>VLOOKUP(L193,'SKU Data'!A:B,2,0)</f>
        <v/>
      </c>
      <c r="F193" s="50" t="n"/>
      <c r="G193" s="126">
        <f>VLOOKUP(L193,'SKU Data'!A:C,3,0)</f>
        <v/>
      </c>
      <c r="H193" s="126">
        <f>F193*G193</f>
        <v/>
      </c>
      <c r="I193" s="50" t="n"/>
      <c r="J193" s="68" t="n"/>
      <c r="K193" s="50" t="n"/>
      <c r="L193" s="65" t="n"/>
      <c r="M193" s="70">
        <f>VLOOKUP(L193,'SKU Data'!A:D,4,0)</f>
        <v/>
      </c>
    </row>
    <row r="194" ht="21.75" customFormat="1" customHeight="1" s="71">
      <c r="A194" s="86" t="n"/>
      <c r="B194" s="83" t="n"/>
      <c r="C194" s="50" t="n"/>
      <c r="D194" s="50" t="n"/>
      <c r="E194" s="68">
        <f>VLOOKUP(L194,'SKU Data'!A:B,2,0)</f>
        <v/>
      </c>
      <c r="F194" s="50" t="n"/>
      <c r="G194" s="126">
        <f>VLOOKUP(L194,'SKU Data'!A:C,3,0)</f>
        <v/>
      </c>
      <c r="H194" s="126">
        <f>F194*G194</f>
        <v/>
      </c>
      <c r="I194" s="50" t="n"/>
      <c r="J194" s="68" t="n"/>
      <c r="K194" s="50" t="n"/>
      <c r="L194" s="65" t="n"/>
      <c r="M194" s="70">
        <f>VLOOKUP(L194,'SKU Data'!A:D,4,0)</f>
        <v/>
      </c>
    </row>
    <row r="195" ht="21.75" customFormat="1" customHeight="1" s="71">
      <c r="A195" s="86" t="n"/>
      <c r="B195" s="83" t="n"/>
      <c r="C195" s="50" t="n"/>
      <c r="D195" s="50" t="n"/>
      <c r="E195" s="68">
        <f>VLOOKUP(L195,'SKU Data'!A:B,2,0)</f>
        <v/>
      </c>
      <c r="F195" s="50" t="n"/>
      <c r="G195" s="126">
        <f>VLOOKUP(L195,'SKU Data'!A:C,3,0)</f>
        <v/>
      </c>
      <c r="H195" s="126">
        <f>F195*G195</f>
        <v/>
      </c>
      <c r="I195" s="50" t="n"/>
      <c r="J195" s="68" t="n"/>
      <c r="K195" s="50" t="n"/>
      <c r="L195" s="65" t="n"/>
      <c r="M195" s="70">
        <f>VLOOKUP(L195,'SKU Data'!A:D,4,0)</f>
        <v/>
      </c>
    </row>
    <row r="196" ht="21.75" customFormat="1" customHeight="1" s="71">
      <c r="A196" s="86" t="n"/>
      <c r="B196" s="83" t="n"/>
      <c r="C196" s="50" t="n"/>
      <c r="D196" s="50" t="n"/>
      <c r="E196" s="68">
        <f>VLOOKUP(L196,'SKU Data'!A:B,2,0)</f>
        <v/>
      </c>
      <c r="F196" s="50" t="n"/>
      <c r="G196" s="126">
        <f>VLOOKUP(L196,'SKU Data'!A:C,3,0)</f>
        <v/>
      </c>
      <c r="H196" s="126">
        <f>F196*G196</f>
        <v/>
      </c>
      <c r="I196" s="50" t="n"/>
      <c r="J196" s="68" t="n"/>
      <c r="K196" s="50" t="n"/>
      <c r="L196" s="65" t="n"/>
      <c r="M196" s="70">
        <f>VLOOKUP(L196,'SKU Data'!A:D,4,0)</f>
        <v/>
      </c>
    </row>
    <row r="197" ht="21.75" customFormat="1" customHeight="1" s="71">
      <c r="A197" s="86" t="n"/>
      <c r="B197" s="83" t="n"/>
      <c r="C197" s="50" t="n"/>
      <c r="D197" s="50" t="n"/>
      <c r="E197" s="68">
        <f>VLOOKUP(L197,'SKU Data'!A:B,2,0)</f>
        <v/>
      </c>
      <c r="F197" s="50" t="n"/>
      <c r="G197" s="126">
        <f>VLOOKUP(L197,'SKU Data'!A:C,3,0)</f>
        <v/>
      </c>
      <c r="H197" s="126">
        <f>F197*G197</f>
        <v/>
      </c>
      <c r="I197" s="50" t="n"/>
      <c r="J197" s="68" t="n"/>
      <c r="K197" s="50" t="n"/>
      <c r="L197" s="65" t="n"/>
      <c r="M197" s="70">
        <f>VLOOKUP(L197,'SKU Data'!A:D,4,0)</f>
        <v/>
      </c>
    </row>
    <row r="198" ht="21.75" customFormat="1" customHeight="1" s="71">
      <c r="A198" s="86" t="n"/>
      <c r="B198" s="83" t="n"/>
      <c r="C198" s="50" t="n"/>
      <c r="D198" s="50" t="n"/>
      <c r="E198" s="68">
        <f>VLOOKUP(L198,'SKU Data'!A:B,2,0)</f>
        <v/>
      </c>
      <c r="F198" s="50" t="n"/>
      <c r="G198" s="126">
        <f>VLOOKUP(L198,'SKU Data'!A:C,3,0)</f>
        <v/>
      </c>
      <c r="H198" s="126">
        <f>F198*G198</f>
        <v/>
      </c>
      <c r="I198" s="50" t="n"/>
      <c r="J198" s="68" t="n"/>
      <c r="K198" s="50" t="n"/>
      <c r="L198" s="65" t="n"/>
      <c r="M198" s="70">
        <f>VLOOKUP(L198,'SKU Data'!A:D,4,0)</f>
        <v/>
      </c>
    </row>
    <row r="199" ht="21.75" customFormat="1" customHeight="1" s="71">
      <c r="A199" s="86" t="n"/>
      <c r="B199" s="83" t="n"/>
      <c r="C199" s="50" t="n"/>
      <c r="D199" s="50" t="n"/>
      <c r="E199" s="68">
        <f>VLOOKUP(L199,'SKU Data'!A:B,2,0)</f>
        <v/>
      </c>
      <c r="F199" s="50" t="n"/>
      <c r="G199" s="126">
        <f>VLOOKUP(L199,'SKU Data'!A:C,3,0)</f>
        <v/>
      </c>
      <c r="H199" s="126">
        <f>F199*G199</f>
        <v/>
      </c>
      <c r="I199" s="50" t="n"/>
      <c r="J199" s="68" t="n"/>
      <c r="K199" s="50" t="n"/>
      <c r="L199" s="65" t="n"/>
      <c r="M199" s="70">
        <f>VLOOKUP(L199,'SKU Data'!A:D,4,0)</f>
        <v/>
      </c>
    </row>
    <row r="200" ht="21.75" customFormat="1" customHeight="1" s="71">
      <c r="A200" s="86" t="n"/>
      <c r="B200" s="83" t="n"/>
      <c r="C200" s="50" t="n"/>
      <c r="D200" s="50" t="n"/>
      <c r="E200" s="68">
        <f>VLOOKUP(L200,'SKU Data'!A:B,2,0)</f>
        <v/>
      </c>
      <c r="F200" s="50" t="n"/>
      <c r="G200" s="126">
        <f>VLOOKUP(L200,'SKU Data'!A:C,3,0)</f>
        <v/>
      </c>
      <c r="H200" s="126">
        <f>F200*G200</f>
        <v/>
      </c>
      <c r="I200" s="50" t="n"/>
      <c r="J200" s="68" t="n"/>
      <c r="K200" s="50" t="n"/>
      <c r="L200" s="65" t="n"/>
      <c r="M200" s="70">
        <f>VLOOKUP(L200,'SKU Data'!A:D,4,0)</f>
        <v/>
      </c>
    </row>
    <row r="201" ht="21.75" customFormat="1" customHeight="1" s="71">
      <c r="A201" s="86" t="n"/>
      <c r="B201" s="83" t="n"/>
      <c r="C201" s="50" t="n"/>
      <c r="D201" s="50" t="n"/>
      <c r="E201" s="68">
        <f>VLOOKUP(L201,'SKU Data'!A:B,2,0)</f>
        <v/>
      </c>
      <c r="F201" s="50" t="n"/>
      <c r="G201" s="126">
        <f>VLOOKUP(L201,'SKU Data'!A:C,3,0)</f>
        <v/>
      </c>
      <c r="H201" s="126">
        <f>F201*G201</f>
        <v/>
      </c>
      <c r="I201" s="50" t="n"/>
      <c r="J201" s="68" t="n"/>
      <c r="K201" s="50" t="n"/>
      <c r="L201" s="65" t="n"/>
      <c r="M201" s="70">
        <f>VLOOKUP(L201,'SKU Data'!A:D,4,0)</f>
        <v/>
      </c>
    </row>
    <row r="202" ht="21.75" customFormat="1" customHeight="1" s="71">
      <c r="A202" s="86" t="n"/>
      <c r="B202" s="83" t="n"/>
      <c r="C202" s="50" t="n"/>
      <c r="D202" s="50" t="n"/>
      <c r="E202" s="68">
        <f>VLOOKUP(L202,'SKU Data'!A:B,2,0)</f>
        <v/>
      </c>
      <c r="F202" s="50" t="n"/>
      <c r="G202" s="126">
        <f>VLOOKUP(L202,'SKU Data'!A:C,3,0)</f>
        <v/>
      </c>
      <c r="H202" s="126">
        <f>F202*G202</f>
        <v/>
      </c>
      <c r="I202" s="50" t="n"/>
      <c r="J202" s="68" t="n"/>
      <c r="K202" s="50" t="n"/>
      <c r="L202" s="65" t="n"/>
      <c r="M202" s="70">
        <f>VLOOKUP(L202,'SKU Data'!A:D,4,0)</f>
        <v/>
      </c>
    </row>
    <row r="203" ht="21.75" customFormat="1" customHeight="1" s="71">
      <c r="A203" s="86" t="n"/>
      <c r="B203" s="83" t="n"/>
      <c r="C203" s="50" t="n"/>
      <c r="D203" s="50" t="n"/>
      <c r="E203" s="68">
        <f>VLOOKUP(L203,'SKU Data'!A:B,2,0)</f>
        <v/>
      </c>
      <c r="F203" s="50" t="n"/>
      <c r="G203" s="126">
        <f>VLOOKUP(L203,'SKU Data'!A:C,3,0)</f>
        <v/>
      </c>
      <c r="H203" s="126">
        <f>F203*G203</f>
        <v/>
      </c>
      <c r="I203" s="50" t="n"/>
      <c r="J203" s="68" t="n"/>
      <c r="K203" s="50" t="n"/>
      <c r="L203" s="65" t="n"/>
      <c r="M203" s="70">
        <f>VLOOKUP(L203,'SKU Data'!A:D,4,0)</f>
        <v/>
      </c>
    </row>
    <row r="204" ht="21.75" customFormat="1" customHeight="1" s="71">
      <c r="A204" s="86" t="n"/>
      <c r="B204" s="83" t="n"/>
      <c r="C204" s="50" t="n"/>
      <c r="D204" s="50" t="n"/>
      <c r="E204" s="68">
        <f>VLOOKUP(L204,'SKU Data'!A:B,2,0)</f>
        <v/>
      </c>
      <c r="F204" s="50" t="n"/>
      <c r="G204" s="126">
        <f>VLOOKUP(L204,'SKU Data'!A:C,3,0)</f>
        <v/>
      </c>
      <c r="H204" s="126">
        <f>F204*G204</f>
        <v/>
      </c>
      <c r="I204" s="50" t="n"/>
      <c r="J204" s="68" t="n"/>
      <c r="K204" s="50" t="n"/>
      <c r="L204" s="65" t="n"/>
      <c r="M204" s="70">
        <f>VLOOKUP(L204,'SKU Data'!A:D,4,0)</f>
        <v/>
      </c>
    </row>
    <row r="205" ht="21.75" customFormat="1" customHeight="1" s="71">
      <c r="A205" s="86" t="n"/>
      <c r="B205" s="83" t="n"/>
      <c r="C205" s="50" t="n"/>
      <c r="D205" s="50" t="n"/>
      <c r="E205" s="68">
        <f>VLOOKUP(L205,'SKU Data'!A:B,2,0)</f>
        <v/>
      </c>
      <c r="F205" s="50" t="n"/>
      <c r="G205" s="126">
        <f>VLOOKUP(L205,'SKU Data'!A:C,3,0)</f>
        <v/>
      </c>
      <c r="H205" s="126">
        <f>F205*G205</f>
        <v/>
      </c>
      <c r="I205" s="50" t="n"/>
      <c r="J205" s="68" t="n"/>
      <c r="K205" s="50" t="n"/>
      <c r="L205" s="65" t="n"/>
      <c r="M205" s="70">
        <f>VLOOKUP(L205,'SKU Data'!A:D,4,0)</f>
        <v/>
      </c>
    </row>
    <row r="206" ht="21.75" customFormat="1" customHeight="1" s="71">
      <c r="A206" s="86" t="n"/>
      <c r="B206" s="83" t="n"/>
      <c r="C206" s="50" t="n"/>
      <c r="D206" s="50" t="n"/>
      <c r="E206" s="68">
        <f>VLOOKUP(L206,'SKU Data'!A:B,2,0)</f>
        <v/>
      </c>
      <c r="F206" s="50" t="n"/>
      <c r="G206" s="126">
        <f>VLOOKUP(L206,'SKU Data'!A:C,3,0)</f>
        <v/>
      </c>
      <c r="H206" s="126">
        <f>F206*G206</f>
        <v/>
      </c>
      <c r="I206" s="50" t="n"/>
      <c r="J206" s="68" t="n"/>
      <c r="K206" s="50" t="n"/>
      <c r="L206" s="65" t="n"/>
      <c r="M206" s="70">
        <f>VLOOKUP(L206,'SKU Data'!A:D,4,0)</f>
        <v/>
      </c>
    </row>
    <row r="207" ht="21.75" customFormat="1" customHeight="1" s="71">
      <c r="A207" s="86" t="n"/>
      <c r="B207" s="83" t="n"/>
      <c r="C207" s="50" t="n"/>
      <c r="D207" s="50" t="n"/>
      <c r="E207" s="68">
        <f>VLOOKUP(L207,'SKU Data'!A:B,2,0)</f>
        <v/>
      </c>
      <c r="F207" s="50" t="n"/>
      <c r="G207" s="126">
        <f>VLOOKUP(L207,'SKU Data'!A:C,3,0)</f>
        <v/>
      </c>
      <c r="H207" s="126">
        <f>F207*G207</f>
        <v/>
      </c>
      <c r="I207" s="50" t="n"/>
      <c r="J207" s="68" t="n"/>
      <c r="K207" s="50" t="n"/>
      <c r="L207" s="65" t="n"/>
      <c r="M207" s="70">
        <f>VLOOKUP(L207,'SKU Data'!A:D,4,0)</f>
        <v/>
      </c>
    </row>
    <row r="208" ht="21.75" customFormat="1" customHeight="1" s="71">
      <c r="A208" s="86" t="n"/>
      <c r="B208" s="83" t="n"/>
      <c r="C208" s="50" t="n"/>
      <c r="D208" s="50" t="n"/>
      <c r="E208" s="68">
        <f>VLOOKUP(L208,'SKU Data'!A:B,2,0)</f>
        <v/>
      </c>
      <c r="F208" s="50" t="n"/>
      <c r="G208" s="126">
        <f>VLOOKUP(L208,'SKU Data'!A:C,3,0)</f>
        <v/>
      </c>
      <c r="H208" s="126">
        <f>F208*G208</f>
        <v/>
      </c>
      <c r="I208" s="50" t="n"/>
      <c r="J208" s="68" t="n"/>
      <c r="K208" s="50" t="n"/>
      <c r="L208" s="65" t="n"/>
      <c r="M208" s="70">
        <f>VLOOKUP(L208,'SKU Data'!A:D,4,0)</f>
        <v/>
      </c>
    </row>
    <row r="209" ht="21.75" customFormat="1" customHeight="1" s="71">
      <c r="A209" s="86" t="n"/>
      <c r="B209" s="83" t="n"/>
      <c r="C209" s="50" t="n"/>
      <c r="D209" s="50" t="n"/>
      <c r="E209" s="68">
        <f>VLOOKUP(L209,'SKU Data'!A:B,2,0)</f>
        <v/>
      </c>
      <c r="F209" s="50" t="n"/>
      <c r="G209" s="126">
        <f>VLOOKUP(L209,'SKU Data'!A:C,3,0)</f>
        <v/>
      </c>
      <c r="H209" s="126">
        <f>F209*G209</f>
        <v/>
      </c>
      <c r="I209" s="50" t="n"/>
      <c r="J209" s="68" t="n"/>
      <c r="K209" s="50" t="n"/>
      <c r="L209" s="65" t="n"/>
      <c r="M209" s="70">
        <f>VLOOKUP(L209,'SKU Data'!A:D,4,0)</f>
        <v/>
      </c>
    </row>
    <row r="210" ht="21.75" customFormat="1" customHeight="1" s="71">
      <c r="A210" s="86" t="n"/>
      <c r="B210" s="83" t="n"/>
      <c r="C210" s="50" t="n"/>
      <c r="D210" s="50" t="n"/>
      <c r="E210" s="68">
        <f>VLOOKUP(L210,'SKU Data'!A:B,2,0)</f>
        <v/>
      </c>
      <c r="F210" s="50" t="n"/>
      <c r="G210" s="126">
        <f>VLOOKUP(L210,'SKU Data'!A:C,3,0)</f>
        <v/>
      </c>
      <c r="H210" s="126">
        <f>F210*G210</f>
        <v/>
      </c>
      <c r="I210" s="50" t="n"/>
      <c r="J210" s="68" t="n"/>
      <c r="K210" s="50" t="n"/>
      <c r="L210" s="65" t="n"/>
      <c r="M210" s="70">
        <f>VLOOKUP(L210,'SKU Data'!A:D,4,0)</f>
        <v/>
      </c>
    </row>
    <row r="211" ht="21.75" customFormat="1" customHeight="1" s="71">
      <c r="A211" s="86" t="n"/>
      <c r="B211" s="83" t="n"/>
      <c r="C211" s="50" t="n"/>
      <c r="D211" s="50" t="n"/>
      <c r="E211" s="68">
        <f>VLOOKUP(L211,'SKU Data'!A:B,2,0)</f>
        <v/>
      </c>
      <c r="F211" s="50" t="n"/>
      <c r="G211" s="126">
        <f>VLOOKUP(L211,'SKU Data'!A:C,3,0)</f>
        <v/>
      </c>
      <c r="H211" s="126">
        <f>F211*G211</f>
        <v/>
      </c>
      <c r="I211" s="50" t="n"/>
      <c r="J211" s="68" t="n"/>
      <c r="K211" s="50" t="n"/>
      <c r="L211" s="65" t="n"/>
      <c r="M211" s="70">
        <f>VLOOKUP(L211,'SKU Data'!A:D,4,0)</f>
        <v/>
      </c>
    </row>
    <row r="212" ht="21.75" customFormat="1" customHeight="1" s="71">
      <c r="A212" s="86" t="n"/>
      <c r="B212" s="83" t="n"/>
      <c r="C212" s="50" t="n"/>
      <c r="D212" s="50" t="n"/>
      <c r="E212" s="68">
        <f>VLOOKUP(L212,'SKU Data'!A:B,2,0)</f>
        <v/>
      </c>
      <c r="F212" s="50" t="n"/>
      <c r="G212" s="126">
        <f>VLOOKUP(L212,'SKU Data'!A:C,3,0)</f>
        <v/>
      </c>
      <c r="H212" s="126">
        <f>F212*G212</f>
        <v/>
      </c>
      <c r="I212" s="50" t="n"/>
      <c r="J212" s="68" t="n"/>
      <c r="K212" s="50" t="n"/>
      <c r="L212" s="65" t="n"/>
      <c r="M212" s="70">
        <f>VLOOKUP(L212,'SKU Data'!A:D,4,0)</f>
        <v/>
      </c>
    </row>
    <row r="213" ht="21.75" customFormat="1" customHeight="1" s="71">
      <c r="A213" s="86" t="n"/>
      <c r="B213" s="83" t="n"/>
      <c r="C213" s="50" t="n"/>
      <c r="D213" s="50" t="n"/>
      <c r="E213" s="68">
        <f>VLOOKUP(L213,'SKU Data'!A:B,2,0)</f>
        <v/>
      </c>
      <c r="F213" s="50" t="n"/>
      <c r="G213" s="126">
        <f>VLOOKUP(L213,'SKU Data'!A:C,3,0)</f>
        <v/>
      </c>
      <c r="H213" s="126">
        <f>F213*G213</f>
        <v/>
      </c>
      <c r="I213" s="50" t="n"/>
      <c r="J213" s="68" t="n"/>
      <c r="K213" s="50" t="n"/>
      <c r="L213" s="65" t="n"/>
      <c r="M213" s="70">
        <f>VLOOKUP(L213,'SKU Data'!A:D,4,0)</f>
        <v/>
      </c>
    </row>
    <row r="214" ht="21.75" customFormat="1" customHeight="1" s="71">
      <c r="A214" s="86" t="n"/>
      <c r="B214" s="83" t="n"/>
      <c r="C214" s="50" t="n"/>
      <c r="D214" s="50" t="n"/>
      <c r="E214" s="68">
        <f>VLOOKUP(L214,'SKU Data'!A:B,2,0)</f>
        <v/>
      </c>
      <c r="F214" s="50" t="n"/>
      <c r="G214" s="126">
        <f>VLOOKUP(L214,'SKU Data'!A:C,3,0)</f>
        <v/>
      </c>
      <c r="H214" s="126">
        <f>F214*G214</f>
        <v/>
      </c>
      <c r="I214" s="50" t="n"/>
      <c r="J214" s="68" t="n"/>
      <c r="K214" s="50" t="n"/>
      <c r="L214" s="65" t="n"/>
      <c r="M214" s="70">
        <f>VLOOKUP(L214,'SKU Data'!A:D,4,0)</f>
        <v/>
      </c>
    </row>
    <row r="215" ht="21.75" customFormat="1" customHeight="1" s="71">
      <c r="A215" s="86" t="n"/>
      <c r="B215" s="83" t="n"/>
      <c r="C215" s="50" t="n"/>
      <c r="D215" s="50" t="n"/>
      <c r="E215" s="68">
        <f>VLOOKUP(L215,'SKU Data'!A:B,2,0)</f>
        <v/>
      </c>
      <c r="F215" s="50" t="n"/>
      <c r="G215" s="126">
        <f>VLOOKUP(L215,'SKU Data'!A:C,3,0)</f>
        <v/>
      </c>
      <c r="H215" s="126">
        <f>F215*G215</f>
        <v/>
      </c>
      <c r="I215" s="50" t="n"/>
      <c r="J215" s="68" t="n"/>
      <c r="K215" s="50" t="n"/>
      <c r="L215" s="65" t="n"/>
      <c r="M215" s="70">
        <f>VLOOKUP(L215,'SKU Data'!A:D,4,0)</f>
        <v/>
      </c>
    </row>
    <row r="216" ht="21.75" customFormat="1" customHeight="1" s="71">
      <c r="A216" s="86" t="n"/>
      <c r="B216" s="83" t="n"/>
      <c r="C216" s="50" t="n"/>
      <c r="D216" s="50" t="n"/>
      <c r="E216" s="68">
        <f>VLOOKUP(L216,'SKU Data'!A:B,2,0)</f>
        <v/>
      </c>
      <c r="F216" s="50" t="n"/>
      <c r="G216" s="126">
        <f>VLOOKUP(L216,'SKU Data'!A:C,3,0)</f>
        <v/>
      </c>
      <c r="H216" s="126">
        <f>F216*G216</f>
        <v/>
      </c>
      <c r="I216" s="50" t="n"/>
      <c r="J216" s="68" t="n"/>
      <c r="K216" s="50" t="n"/>
      <c r="L216" s="65" t="n"/>
      <c r="M216" s="70">
        <f>VLOOKUP(L216,'SKU Data'!A:D,4,0)</f>
        <v/>
      </c>
    </row>
    <row r="217" ht="21.75" customFormat="1" customHeight="1" s="71">
      <c r="A217" s="86" t="n"/>
      <c r="B217" s="83" t="n"/>
      <c r="C217" s="50" t="n"/>
      <c r="D217" s="50" t="n"/>
      <c r="E217" s="68">
        <f>VLOOKUP(L217,'SKU Data'!A:B,2,0)</f>
        <v/>
      </c>
      <c r="F217" s="50" t="n"/>
      <c r="G217" s="126">
        <f>VLOOKUP(L217,'SKU Data'!A:C,3,0)</f>
        <v/>
      </c>
      <c r="H217" s="126">
        <f>F217*G217</f>
        <v/>
      </c>
      <c r="I217" s="50" t="n"/>
      <c r="J217" s="68" t="n"/>
      <c r="K217" s="50" t="n"/>
      <c r="L217" s="65" t="n"/>
      <c r="M217" s="70">
        <f>VLOOKUP(L217,'SKU Data'!A:D,4,0)</f>
        <v/>
      </c>
    </row>
    <row r="218" ht="21.75" customFormat="1" customHeight="1" s="71">
      <c r="A218" s="86" t="n"/>
      <c r="B218" s="83" t="n"/>
      <c r="C218" s="50" t="n"/>
      <c r="D218" s="50" t="n"/>
      <c r="E218" s="68">
        <f>VLOOKUP(L218,'SKU Data'!A:B,2,0)</f>
        <v/>
      </c>
      <c r="F218" s="50" t="n"/>
      <c r="G218" s="126">
        <f>VLOOKUP(L218,'SKU Data'!A:C,3,0)</f>
        <v/>
      </c>
      <c r="H218" s="126">
        <f>F218*G218</f>
        <v/>
      </c>
      <c r="I218" s="50" t="n"/>
      <c r="J218" s="68" t="n"/>
      <c r="K218" s="50" t="n"/>
      <c r="L218" s="65" t="n"/>
      <c r="M218" s="70">
        <f>VLOOKUP(L218,'SKU Data'!A:D,4,0)</f>
        <v/>
      </c>
    </row>
    <row r="219" ht="21.75" customFormat="1" customHeight="1" s="71">
      <c r="A219" s="86" t="n"/>
      <c r="B219" s="83" t="n"/>
      <c r="C219" s="50" t="n"/>
      <c r="D219" s="50" t="n"/>
      <c r="E219" s="68">
        <f>VLOOKUP(L219,'SKU Data'!A:B,2,0)</f>
        <v/>
      </c>
      <c r="F219" s="50" t="n"/>
      <c r="G219" s="126">
        <f>VLOOKUP(L219,'SKU Data'!A:C,3,0)</f>
        <v/>
      </c>
      <c r="H219" s="126">
        <f>F219*G219</f>
        <v/>
      </c>
      <c r="I219" s="50" t="n"/>
      <c r="J219" s="68" t="n"/>
      <c r="K219" s="50" t="n"/>
      <c r="L219" s="65" t="n"/>
      <c r="M219" s="70">
        <f>VLOOKUP(L219,'SKU Data'!A:D,4,0)</f>
        <v/>
      </c>
    </row>
    <row r="220" ht="21.75" customFormat="1" customHeight="1" s="71">
      <c r="A220" s="86" t="n"/>
      <c r="B220" s="83" t="n"/>
      <c r="C220" s="50" t="n"/>
      <c r="D220" s="50" t="n"/>
      <c r="E220" s="68">
        <f>VLOOKUP(L220,'SKU Data'!A:B,2,0)</f>
        <v/>
      </c>
      <c r="F220" s="50" t="n"/>
      <c r="G220" s="126">
        <f>VLOOKUP(L220,'SKU Data'!A:C,3,0)</f>
        <v/>
      </c>
      <c r="H220" s="126">
        <f>F220*G220</f>
        <v/>
      </c>
      <c r="I220" s="50" t="n"/>
      <c r="J220" s="68" t="n"/>
      <c r="K220" s="50" t="n"/>
      <c r="L220" s="65" t="n"/>
      <c r="M220" s="70">
        <f>VLOOKUP(L220,'SKU Data'!A:D,4,0)</f>
        <v/>
      </c>
    </row>
    <row r="221" ht="21.75" customFormat="1" customHeight="1" s="71">
      <c r="A221" s="86" t="n"/>
      <c r="B221" s="83" t="n"/>
      <c r="C221" s="50" t="n"/>
      <c r="D221" s="50" t="n"/>
      <c r="E221" s="68">
        <f>VLOOKUP(L221,'SKU Data'!A:B,2,0)</f>
        <v/>
      </c>
      <c r="F221" s="50" t="n"/>
      <c r="G221" s="126">
        <f>VLOOKUP(L221,'SKU Data'!A:C,3,0)</f>
        <v/>
      </c>
      <c r="H221" s="126">
        <f>F221*G221</f>
        <v/>
      </c>
      <c r="I221" s="50" t="n"/>
      <c r="J221" s="68" t="n"/>
      <c r="K221" s="50" t="n"/>
      <c r="L221" s="65" t="n"/>
      <c r="M221" s="70">
        <f>VLOOKUP(L221,'SKU Data'!A:D,4,0)</f>
        <v/>
      </c>
    </row>
    <row r="222" ht="21.75" customFormat="1" customHeight="1" s="71">
      <c r="A222" s="86" t="n"/>
      <c r="B222" s="83" t="n"/>
      <c r="C222" s="50" t="n"/>
      <c r="D222" s="50" t="n"/>
      <c r="E222" s="68">
        <f>VLOOKUP(L222,'SKU Data'!A:B,2,0)</f>
        <v/>
      </c>
      <c r="F222" s="50" t="n"/>
      <c r="G222" s="126">
        <f>VLOOKUP(L222,'SKU Data'!A:C,3,0)</f>
        <v/>
      </c>
      <c r="H222" s="126">
        <f>F222*G222</f>
        <v/>
      </c>
      <c r="I222" s="50" t="n"/>
      <c r="J222" s="68" t="n"/>
      <c r="K222" s="50" t="n"/>
      <c r="L222" s="65" t="n"/>
      <c r="M222" s="70">
        <f>VLOOKUP(L222,'SKU Data'!A:D,4,0)</f>
        <v/>
      </c>
    </row>
    <row r="223" ht="21.75" customFormat="1" customHeight="1" s="71">
      <c r="A223" s="86" t="n"/>
      <c r="B223" s="83" t="n"/>
      <c r="C223" s="50" t="n"/>
      <c r="D223" s="50" t="n"/>
      <c r="E223" s="68">
        <f>VLOOKUP(L223,'SKU Data'!A:B,2,0)</f>
        <v/>
      </c>
      <c r="F223" s="50" t="n"/>
      <c r="G223" s="126">
        <f>VLOOKUP(L223,'SKU Data'!A:C,3,0)</f>
        <v/>
      </c>
      <c r="H223" s="126">
        <f>F223*G223</f>
        <v/>
      </c>
      <c r="I223" s="50" t="n"/>
      <c r="J223" s="68" t="n"/>
      <c r="K223" s="50" t="n"/>
      <c r="L223" s="65" t="n"/>
      <c r="M223" s="70">
        <f>VLOOKUP(L223,'SKU Data'!A:D,4,0)</f>
        <v/>
      </c>
    </row>
    <row r="224" ht="21.75" customFormat="1" customHeight="1" s="71">
      <c r="A224" s="86" t="n"/>
      <c r="B224" s="83" t="n"/>
      <c r="C224" s="50" t="n"/>
      <c r="D224" s="50" t="n"/>
      <c r="E224" s="68">
        <f>VLOOKUP(L224,'SKU Data'!A:B,2,0)</f>
        <v/>
      </c>
      <c r="F224" s="50" t="n"/>
      <c r="G224" s="126">
        <f>VLOOKUP(L224,'SKU Data'!A:C,3,0)</f>
        <v/>
      </c>
      <c r="H224" s="126">
        <f>F224*G224</f>
        <v/>
      </c>
      <c r="I224" s="50" t="n"/>
      <c r="J224" s="68" t="n"/>
      <c r="K224" s="50" t="n"/>
      <c r="L224" s="65" t="n"/>
      <c r="M224" s="70">
        <f>VLOOKUP(L224,'SKU Data'!A:D,4,0)</f>
        <v/>
      </c>
    </row>
    <row r="225" ht="21.75" customFormat="1" customHeight="1" s="71">
      <c r="A225" s="86" t="n"/>
      <c r="B225" s="83" t="n"/>
      <c r="C225" s="50" t="n"/>
      <c r="D225" s="50" t="n"/>
      <c r="E225" s="68">
        <f>VLOOKUP(L225,'SKU Data'!A:B,2,0)</f>
        <v/>
      </c>
      <c r="F225" s="50" t="n"/>
      <c r="G225" s="126">
        <f>VLOOKUP(L225,'SKU Data'!A:C,3,0)</f>
        <v/>
      </c>
      <c r="H225" s="126">
        <f>F225*G225</f>
        <v/>
      </c>
      <c r="I225" s="50" t="n"/>
      <c r="J225" s="68" t="n"/>
      <c r="K225" s="50" t="n"/>
      <c r="L225" s="65" t="n"/>
      <c r="M225" s="70">
        <f>VLOOKUP(L225,'SKU Data'!A:D,4,0)</f>
        <v/>
      </c>
    </row>
    <row r="226" ht="21.75" customFormat="1" customHeight="1" s="71">
      <c r="A226" s="86" t="n"/>
      <c r="B226" s="83" t="n"/>
      <c r="C226" s="50" t="n"/>
      <c r="D226" s="50" t="n"/>
      <c r="E226" s="68">
        <f>VLOOKUP(L226,'SKU Data'!A:B,2,0)</f>
        <v/>
      </c>
      <c r="F226" s="50" t="n"/>
      <c r="G226" s="126">
        <f>VLOOKUP(L226,'SKU Data'!A:C,3,0)</f>
        <v/>
      </c>
      <c r="H226" s="126">
        <f>F226*G226</f>
        <v/>
      </c>
      <c r="I226" s="50" t="n"/>
      <c r="J226" s="68" t="n"/>
      <c r="K226" s="50" t="n"/>
      <c r="L226" s="65" t="n"/>
      <c r="M226" s="70">
        <f>VLOOKUP(L226,'SKU Data'!A:D,4,0)</f>
        <v/>
      </c>
    </row>
    <row r="227" ht="21.75" customFormat="1" customHeight="1" s="71">
      <c r="A227" s="86" t="n"/>
      <c r="B227" s="83" t="n"/>
      <c r="C227" s="50" t="n"/>
      <c r="D227" s="50" t="n"/>
      <c r="E227" s="68">
        <f>VLOOKUP(L227,'SKU Data'!A:B,2,0)</f>
        <v/>
      </c>
      <c r="F227" s="50" t="n"/>
      <c r="G227" s="126">
        <f>VLOOKUP(L227,'SKU Data'!A:C,3,0)</f>
        <v/>
      </c>
      <c r="H227" s="126">
        <f>F227*G227</f>
        <v/>
      </c>
      <c r="I227" s="50" t="n"/>
      <c r="J227" s="68" t="n"/>
      <c r="K227" s="50" t="n"/>
      <c r="L227" s="65" t="n"/>
      <c r="M227" s="70">
        <f>VLOOKUP(L227,'SKU Data'!A:D,4,0)</f>
        <v/>
      </c>
    </row>
    <row r="228" ht="21.75" customFormat="1" customHeight="1" s="71">
      <c r="A228" s="86" t="n"/>
      <c r="B228" s="83" t="n"/>
      <c r="C228" s="50" t="n"/>
      <c r="D228" s="50" t="n"/>
      <c r="E228" s="68">
        <f>VLOOKUP(L228,'SKU Data'!A:B,2,0)</f>
        <v/>
      </c>
      <c r="F228" s="50" t="n"/>
      <c r="G228" s="126">
        <f>VLOOKUP(L228,'SKU Data'!A:C,3,0)</f>
        <v/>
      </c>
      <c r="H228" s="126">
        <f>F228*G228</f>
        <v/>
      </c>
      <c r="I228" s="50" t="n"/>
      <c r="J228" s="68" t="n"/>
      <c r="K228" s="50" t="n"/>
      <c r="L228" s="65" t="n"/>
      <c r="M228" s="70">
        <f>VLOOKUP(L228,'SKU Data'!A:D,4,0)</f>
        <v/>
      </c>
    </row>
    <row r="229" ht="21.75" customFormat="1" customHeight="1" s="71">
      <c r="A229" s="86" t="n"/>
      <c r="B229" s="83" t="n"/>
      <c r="C229" s="50" t="n"/>
      <c r="D229" s="50" t="n"/>
      <c r="E229" s="68">
        <f>VLOOKUP(L229,'SKU Data'!A:B,2,0)</f>
        <v/>
      </c>
      <c r="F229" s="50" t="n"/>
      <c r="G229" s="126">
        <f>VLOOKUP(L229,'SKU Data'!A:C,3,0)</f>
        <v/>
      </c>
      <c r="H229" s="126">
        <f>F229*G229</f>
        <v/>
      </c>
      <c r="I229" s="50" t="n"/>
      <c r="J229" s="68" t="n"/>
      <c r="K229" s="50" t="n"/>
      <c r="L229" s="65" t="n"/>
      <c r="M229" s="70">
        <f>VLOOKUP(L229,'SKU Data'!A:D,4,0)</f>
        <v/>
      </c>
    </row>
    <row r="230" ht="21.75" customFormat="1" customHeight="1" s="71">
      <c r="A230" s="86" t="n"/>
      <c r="B230" s="83" t="n"/>
      <c r="C230" s="50" t="n"/>
      <c r="D230" s="50" t="n"/>
      <c r="E230" s="68">
        <f>VLOOKUP(L230,'SKU Data'!A:B,2,0)</f>
        <v/>
      </c>
      <c r="F230" s="50" t="n"/>
      <c r="G230" s="126">
        <f>VLOOKUP(L230,'SKU Data'!A:C,3,0)</f>
        <v/>
      </c>
      <c r="H230" s="126">
        <f>F230*G230</f>
        <v/>
      </c>
      <c r="I230" s="50" t="n"/>
      <c r="J230" s="68" t="n"/>
      <c r="K230" s="50" t="n"/>
      <c r="L230" s="65" t="n"/>
      <c r="M230" s="70">
        <f>VLOOKUP(L230,'SKU Data'!A:D,4,0)</f>
        <v/>
      </c>
    </row>
    <row r="231" ht="21.75" customFormat="1" customHeight="1" s="71">
      <c r="A231" s="86" t="n"/>
      <c r="B231" s="83" t="n"/>
      <c r="C231" s="50" t="n"/>
      <c r="D231" s="50" t="n"/>
      <c r="E231" s="68">
        <f>VLOOKUP(L231,'SKU Data'!A:B,2,0)</f>
        <v/>
      </c>
      <c r="F231" s="50" t="n"/>
      <c r="G231" s="126">
        <f>VLOOKUP(L231,'SKU Data'!A:C,3,0)</f>
        <v/>
      </c>
      <c r="H231" s="126">
        <f>F231*G231</f>
        <v/>
      </c>
      <c r="I231" s="50" t="n"/>
      <c r="J231" s="68" t="n"/>
      <c r="K231" s="50" t="n"/>
      <c r="L231" s="65" t="n"/>
      <c r="M231" s="70">
        <f>VLOOKUP(L231,'SKU Data'!A:D,4,0)</f>
        <v/>
      </c>
    </row>
    <row r="232" ht="21.75" customFormat="1" customHeight="1" s="71">
      <c r="A232" s="86" t="n"/>
      <c r="B232" s="83" t="n"/>
      <c r="C232" s="50" t="n"/>
      <c r="D232" s="50" t="n"/>
      <c r="E232" s="68">
        <f>VLOOKUP(L232,'SKU Data'!A:B,2,0)</f>
        <v/>
      </c>
      <c r="F232" s="50" t="n"/>
      <c r="G232" s="126">
        <f>VLOOKUP(L232,'SKU Data'!A:C,3,0)</f>
        <v/>
      </c>
      <c r="H232" s="126">
        <f>F232*G232</f>
        <v/>
      </c>
      <c r="I232" s="50" t="n"/>
      <c r="J232" s="68" t="n"/>
      <c r="K232" s="50" t="n"/>
      <c r="L232" s="65" t="n"/>
      <c r="M232" s="70">
        <f>VLOOKUP(L232,'SKU Data'!A:D,4,0)</f>
        <v/>
      </c>
    </row>
    <row r="233" ht="21.75" customFormat="1" customHeight="1" s="71">
      <c r="A233" s="86" t="n"/>
      <c r="B233" s="83" t="n"/>
      <c r="C233" s="50" t="n"/>
      <c r="D233" s="50" t="n"/>
      <c r="E233" s="68">
        <f>VLOOKUP(L233,'SKU Data'!A:B,2,0)</f>
        <v/>
      </c>
      <c r="F233" s="50" t="n"/>
      <c r="G233" s="126">
        <f>VLOOKUP(L233,'SKU Data'!A:C,3,0)</f>
        <v/>
      </c>
      <c r="H233" s="126">
        <f>F233*G233</f>
        <v/>
      </c>
      <c r="I233" s="50" t="n"/>
      <c r="J233" s="68" t="n"/>
      <c r="K233" s="50" t="n"/>
      <c r="L233" s="65" t="n"/>
      <c r="M233" s="70">
        <f>VLOOKUP(L233,'SKU Data'!A:D,4,0)</f>
        <v/>
      </c>
    </row>
    <row r="234" ht="21.75" customFormat="1" customHeight="1" s="71">
      <c r="A234" s="86" t="n"/>
      <c r="B234" s="83" t="n"/>
      <c r="C234" s="50" t="n"/>
      <c r="D234" s="50" t="n"/>
      <c r="E234" s="68">
        <f>VLOOKUP(L234,'SKU Data'!A:B,2,0)</f>
        <v/>
      </c>
      <c r="F234" s="50" t="n"/>
      <c r="G234" s="126">
        <f>VLOOKUP(L234,'SKU Data'!A:C,3,0)</f>
        <v/>
      </c>
      <c r="H234" s="126">
        <f>F234*G234</f>
        <v/>
      </c>
      <c r="I234" s="50" t="n"/>
      <c r="J234" s="68" t="n"/>
      <c r="K234" s="50" t="n"/>
      <c r="L234" s="65" t="n"/>
      <c r="M234" s="70">
        <f>VLOOKUP(L234,'SKU Data'!A:D,4,0)</f>
        <v/>
      </c>
    </row>
    <row r="235" ht="21.75" customFormat="1" customHeight="1" s="71">
      <c r="A235" s="86" t="n"/>
      <c r="B235" s="83" t="n"/>
      <c r="C235" s="50" t="n"/>
      <c r="D235" s="50" t="n"/>
      <c r="E235" s="68">
        <f>VLOOKUP(L235,'SKU Data'!A:B,2,0)</f>
        <v/>
      </c>
      <c r="F235" s="50" t="n"/>
      <c r="G235" s="126">
        <f>VLOOKUP(L235,'SKU Data'!A:C,3,0)</f>
        <v/>
      </c>
      <c r="H235" s="126">
        <f>F235*G235</f>
        <v/>
      </c>
      <c r="I235" s="50" t="n"/>
      <c r="J235" s="68" t="n"/>
      <c r="K235" s="50" t="n"/>
      <c r="L235" s="65" t="n"/>
      <c r="M235" s="70">
        <f>VLOOKUP(L235,'SKU Data'!A:D,4,0)</f>
        <v/>
      </c>
    </row>
    <row r="236" ht="21.75" customFormat="1" customHeight="1" s="71">
      <c r="A236" s="86" t="n"/>
      <c r="B236" s="83" t="n"/>
      <c r="C236" s="50" t="n"/>
      <c r="D236" s="50" t="n"/>
      <c r="E236" s="68">
        <f>VLOOKUP(L236,'SKU Data'!A:B,2,0)</f>
        <v/>
      </c>
      <c r="F236" s="50" t="n"/>
      <c r="G236" s="126">
        <f>VLOOKUP(L236,'SKU Data'!A:C,3,0)</f>
        <v/>
      </c>
      <c r="H236" s="126">
        <f>F236*G236</f>
        <v/>
      </c>
      <c r="I236" s="50" t="n"/>
      <c r="J236" s="68" t="n"/>
      <c r="K236" s="50" t="n"/>
      <c r="L236" s="65" t="n"/>
      <c r="M236" s="70">
        <f>VLOOKUP(L236,'SKU Data'!A:D,4,0)</f>
        <v/>
      </c>
    </row>
    <row r="237" ht="21.75" customFormat="1" customHeight="1" s="71">
      <c r="A237" s="86" t="n"/>
      <c r="B237" s="83" t="n"/>
      <c r="C237" s="50" t="n"/>
      <c r="D237" s="50" t="n"/>
      <c r="E237" s="68">
        <f>VLOOKUP(L237,'SKU Data'!A:B,2,0)</f>
        <v/>
      </c>
      <c r="F237" s="50" t="n"/>
      <c r="G237" s="126">
        <f>VLOOKUP(L237,'SKU Data'!A:C,3,0)</f>
        <v/>
      </c>
      <c r="H237" s="126">
        <f>F237*G237</f>
        <v/>
      </c>
      <c r="I237" s="50" t="n"/>
      <c r="J237" s="68" t="n"/>
      <c r="K237" s="50" t="n"/>
      <c r="L237" s="65" t="n"/>
      <c r="M237" s="70">
        <f>VLOOKUP(L237,'SKU Data'!A:D,4,0)</f>
        <v/>
      </c>
    </row>
    <row r="238" ht="21.75" customFormat="1" customHeight="1" s="71">
      <c r="A238" s="86" t="n"/>
      <c r="B238" s="83" t="n"/>
      <c r="C238" s="50" t="n"/>
      <c r="D238" s="50" t="n"/>
      <c r="E238" s="68">
        <f>VLOOKUP(L238,'SKU Data'!A:B,2,0)</f>
        <v/>
      </c>
      <c r="F238" s="50" t="n"/>
      <c r="G238" s="126">
        <f>VLOOKUP(L238,'SKU Data'!A:C,3,0)</f>
        <v/>
      </c>
      <c r="H238" s="126">
        <f>F238*G238</f>
        <v/>
      </c>
      <c r="I238" s="50" t="n"/>
      <c r="J238" s="68" t="n"/>
      <c r="K238" s="50" t="n"/>
      <c r="L238" s="65" t="n"/>
      <c r="M238" s="70">
        <f>VLOOKUP(L238,'SKU Data'!A:D,4,0)</f>
        <v/>
      </c>
    </row>
    <row r="239" ht="21.75" customFormat="1" customHeight="1" s="71">
      <c r="A239" s="86" t="n"/>
      <c r="B239" s="83" t="n"/>
      <c r="C239" s="50" t="n"/>
      <c r="D239" s="50" t="n"/>
      <c r="E239" s="68">
        <f>VLOOKUP(L239,'SKU Data'!A:B,2,0)</f>
        <v/>
      </c>
      <c r="F239" s="50" t="n"/>
      <c r="G239" s="126">
        <f>VLOOKUP(L239,'SKU Data'!A:C,3,0)</f>
        <v/>
      </c>
      <c r="H239" s="126">
        <f>F239*G239</f>
        <v/>
      </c>
      <c r="I239" s="50" t="n"/>
      <c r="J239" s="68" t="n"/>
      <c r="K239" s="50" t="n"/>
      <c r="L239" s="65" t="n"/>
      <c r="M239" s="70">
        <f>VLOOKUP(L239,'SKU Data'!A:D,4,0)</f>
        <v/>
      </c>
    </row>
    <row r="240" ht="21.75" customFormat="1" customHeight="1" s="71">
      <c r="A240" s="86" t="n"/>
      <c r="B240" s="83" t="n"/>
      <c r="C240" s="50" t="n"/>
      <c r="D240" s="50" t="n"/>
      <c r="E240" s="68">
        <f>VLOOKUP(L240,'SKU Data'!A:B,2,0)</f>
        <v/>
      </c>
      <c r="F240" s="50" t="n"/>
      <c r="G240" s="126">
        <f>VLOOKUP(L240,'SKU Data'!A:C,3,0)</f>
        <v/>
      </c>
      <c r="H240" s="126">
        <f>F240*G240</f>
        <v/>
      </c>
      <c r="I240" s="50" t="n"/>
      <c r="J240" s="68" t="n"/>
      <c r="K240" s="50" t="n"/>
      <c r="L240" s="65" t="n"/>
      <c r="M240" s="70">
        <f>VLOOKUP(L240,'SKU Data'!A:D,4,0)</f>
        <v/>
      </c>
    </row>
    <row r="241" ht="21.75" customFormat="1" customHeight="1" s="71">
      <c r="A241" s="86" t="n"/>
      <c r="B241" s="83" t="n"/>
      <c r="C241" s="50" t="n"/>
      <c r="D241" s="50" t="n"/>
      <c r="E241" s="68">
        <f>VLOOKUP(L241,'SKU Data'!A:B,2,0)</f>
        <v/>
      </c>
      <c r="F241" s="50" t="n"/>
      <c r="G241" s="126">
        <f>VLOOKUP(L241,'SKU Data'!A:C,3,0)</f>
        <v/>
      </c>
      <c r="H241" s="126">
        <f>F241*G241</f>
        <v/>
      </c>
      <c r="I241" s="50" t="n"/>
      <c r="J241" s="68" t="n"/>
      <c r="K241" s="50" t="n"/>
      <c r="L241" s="65" t="n"/>
      <c r="M241" s="70">
        <f>VLOOKUP(L241,'SKU Data'!A:D,4,0)</f>
        <v/>
      </c>
    </row>
    <row r="242" ht="21.75" customFormat="1" customHeight="1" s="71">
      <c r="A242" s="86" t="n"/>
      <c r="B242" s="83" t="n"/>
      <c r="C242" s="50" t="n"/>
      <c r="D242" s="50" t="n"/>
      <c r="E242" s="68">
        <f>VLOOKUP(L242,'SKU Data'!A:B,2,0)</f>
        <v/>
      </c>
      <c r="F242" s="50" t="n"/>
      <c r="G242" s="126">
        <f>VLOOKUP(L242,'SKU Data'!A:C,3,0)</f>
        <v/>
      </c>
      <c r="H242" s="126">
        <f>F242*G242</f>
        <v/>
      </c>
      <c r="I242" s="50" t="n"/>
      <c r="J242" s="68" t="n"/>
      <c r="K242" s="50" t="n"/>
      <c r="L242" s="65" t="n"/>
      <c r="M242" s="70">
        <f>VLOOKUP(L242,'SKU Data'!A:D,4,0)</f>
        <v/>
      </c>
    </row>
    <row r="243" ht="21.75" customFormat="1" customHeight="1" s="71">
      <c r="A243" s="86" t="n"/>
      <c r="B243" s="83" t="n"/>
      <c r="C243" s="50" t="n"/>
      <c r="D243" s="50" t="n"/>
      <c r="E243" s="68">
        <f>VLOOKUP(L243,'SKU Data'!A:B,2,0)</f>
        <v/>
      </c>
      <c r="F243" s="50" t="n"/>
      <c r="G243" s="126">
        <f>VLOOKUP(L243,'SKU Data'!A:C,3,0)</f>
        <v/>
      </c>
      <c r="H243" s="126">
        <f>F243*G243</f>
        <v/>
      </c>
      <c r="I243" s="50" t="n"/>
      <c r="J243" s="68" t="n"/>
      <c r="K243" s="50" t="n"/>
      <c r="L243" s="65" t="n"/>
      <c r="M243" s="70">
        <f>VLOOKUP(L243,'SKU Data'!A:D,4,0)</f>
        <v/>
      </c>
    </row>
    <row r="244" ht="21.75" customFormat="1" customHeight="1" s="71">
      <c r="A244" s="86" t="n"/>
      <c r="B244" s="83" t="n"/>
      <c r="C244" s="50" t="n"/>
      <c r="D244" s="50" t="n"/>
      <c r="E244" s="68">
        <f>VLOOKUP(L244,'SKU Data'!A:B,2,0)</f>
        <v/>
      </c>
      <c r="F244" s="50" t="n"/>
      <c r="G244" s="126">
        <f>VLOOKUP(L244,'SKU Data'!A:C,3,0)</f>
        <v/>
      </c>
      <c r="H244" s="126">
        <f>F244*G244</f>
        <v/>
      </c>
      <c r="I244" s="50" t="n"/>
      <c r="J244" s="68" t="n"/>
      <c r="K244" s="50" t="n"/>
      <c r="L244" s="65" t="n"/>
      <c r="M244" s="70">
        <f>VLOOKUP(L244,'SKU Data'!A:D,4,0)</f>
        <v/>
      </c>
    </row>
    <row r="245" ht="21.75" customFormat="1" customHeight="1" s="71">
      <c r="A245" s="86" t="n"/>
      <c r="B245" s="83" t="n"/>
      <c r="C245" s="50" t="n"/>
      <c r="D245" s="50" t="n"/>
      <c r="E245" s="68">
        <f>VLOOKUP(L245,'SKU Data'!A:B,2,0)</f>
        <v/>
      </c>
      <c r="F245" s="50" t="n"/>
      <c r="G245" s="126">
        <f>VLOOKUP(L245,'SKU Data'!A:C,3,0)</f>
        <v/>
      </c>
      <c r="H245" s="126">
        <f>F245*G245</f>
        <v/>
      </c>
      <c r="I245" s="50" t="n"/>
      <c r="J245" s="68" t="n"/>
      <c r="K245" s="50" t="n"/>
      <c r="L245" s="65" t="n"/>
      <c r="M245" s="70">
        <f>VLOOKUP(L245,'SKU Data'!A:D,4,0)</f>
        <v/>
      </c>
    </row>
    <row r="246" ht="21.75" customFormat="1" customHeight="1" s="71">
      <c r="A246" s="86" t="n"/>
      <c r="B246" s="83" t="n"/>
      <c r="C246" s="50" t="n"/>
      <c r="D246" s="50" t="n"/>
      <c r="E246" s="68">
        <f>VLOOKUP(L246,'SKU Data'!A:B,2,0)</f>
        <v/>
      </c>
      <c r="F246" s="50" t="n"/>
      <c r="G246" s="126">
        <f>VLOOKUP(L246,'SKU Data'!A:C,3,0)</f>
        <v/>
      </c>
      <c r="H246" s="126">
        <f>F246*G246</f>
        <v/>
      </c>
      <c r="I246" s="50" t="n"/>
      <c r="J246" s="68" t="n"/>
      <c r="K246" s="50" t="n"/>
      <c r="L246" s="65" t="n"/>
      <c r="M246" s="70">
        <f>VLOOKUP(L246,'SKU Data'!A:D,4,0)</f>
        <v/>
      </c>
    </row>
    <row r="247" ht="21.75" customFormat="1" customHeight="1" s="71">
      <c r="A247" s="86" t="n"/>
      <c r="B247" s="83" t="n"/>
      <c r="C247" s="50" t="n"/>
      <c r="D247" s="50" t="n"/>
      <c r="E247" s="68">
        <f>VLOOKUP(L247,'SKU Data'!A:B,2,0)</f>
        <v/>
      </c>
      <c r="F247" s="50" t="n"/>
      <c r="G247" s="126">
        <f>VLOOKUP(L247,'SKU Data'!A:C,3,0)</f>
        <v/>
      </c>
      <c r="H247" s="126">
        <f>F247*G247</f>
        <v/>
      </c>
      <c r="I247" s="50" t="n"/>
      <c r="J247" s="68" t="n"/>
      <c r="K247" s="50" t="n"/>
      <c r="L247" s="65" t="n"/>
      <c r="M247" s="70">
        <f>VLOOKUP(L247,'SKU Data'!A:D,4,0)</f>
        <v/>
      </c>
    </row>
    <row r="248" ht="21.75" customFormat="1" customHeight="1" s="71">
      <c r="A248" s="86" t="n"/>
      <c r="B248" s="83" t="n"/>
      <c r="C248" s="50" t="n"/>
      <c r="D248" s="50" t="n"/>
      <c r="E248" s="68">
        <f>VLOOKUP(L248,'SKU Data'!A:B,2,0)</f>
        <v/>
      </c>
      <c r="F248" s="50" t="n"/>
      <c r="G248" s="126">
        <f>VLOOKUP(L248,'SKU Data'!A:C,3,0)</f>
        <v/>
      </c>
      <c r="H248" s="126">
        <f>F248*G248</f>
        <v/>
      </c>
      <c r="I248" s="50" t="n"/>
      <c r="J248" s="68" t="n"/>
      <c r="K248" s="50" t="n"/>
      <c r="L248" s="65" t="n"/>
      <c r="M248" s="70">
        <f>VLOOKUP(L248,'SKU Data'!A:D,4,0)</f>
        <v/>
      </c>
    </row>
    <row r="249" ht="21.75" customFormat="1" customHeight="1" s="71">
      <c r="A249" s="86" t="n"/>
      <c r="B249" s="83" t="n"/>
      <c r="C249" s="50" t="n"/>
      <c r="D249" s="50" t="n"/>
      <c r="E249" s="68">
        <f>VLOOKUP(L249,'SKU Data'!A:B,2,0)</f>
        <v/>
      </c>
      <c r="F249" s="50" t="n"/>
      <c r="G249" s="126">
        <f>VLOOKUP(L249,'SKU Data'!A:C,3,0)</f>
        <v/>
      </c>
      <c r="H249" s="126">
        <f>F249*G249</f>
        <v/>
      </c>
      <c r="I249" s="50" t="n"/>
      <c r="J249" s="68" t="n"/>
      <c r="K249" s="50" t="n"/>
      <c r="L249" s="65" t="n"/>
      <c r="M249" s="70">
        <f>VLOOKUP(L249,'SKU Data'!A:D,4,0)</f>
        <v/>
      </c>
    </row>
    <row r="250" ht="21.75" customFormat="1" customHeight="1" s="71">
      <c r="A250" s="86" t="n"/>
      <c r="B250" s="83" t="n"/>
      <c r="C250" s="50" t="n"/>
      <c r="D250" s="50" t="n"/>
      <c r="E250" s="68">
        <f>VLOOKUP(L250,'SKU Data'!A:B,2,0)</f>
        <v/>
      </c>
      <c r="F250" s="50" t="n"/>
      <c r="G250" s="126">
        <f>VLOOKUP(L250,'SKU Data'!A:C,3,0)</f>
        <v/>
      </c>
      <c r="H250" s="126">
        <f>F250*G250</f>
        <v/>
      </c>
      <c r="I250" s="50" t="n"/>
      <c r="J250" s="68" t="n"/>
      <c r="K250" s="50" t="n"/>
      <c r="L250" s="65" t="n"/>
      <c r="M250" s="70">
        <f>VLOOKUP(L250,'SKU Data'!A:D,4,0)</f>
        <v/>
      </c>
    </row>
    <row r="251" ht="21.75" customFormat="1" customHeight="1" s="71">
      <c r="A251" s="86" t="n"/>
      <c r="B251" s="83" t="n"/>
      <c r="C251" s="50" t="n"/>
      <c r="D251" s="50" t="n"/>
      <c r="E251" s="68">
        <f>VLOOKUP(L251,'SKU Data'!A:B,2,0)</f>
        <v/>
      </c>
      <c r="F251" s="50" t="n"/>
      <c r="G251" s="126">
        <f>VLOOKUP(L251,'SKU Data'!A:C,3,0)</f>
        <v/>
      </c>
      <c r="H251" s="126">
        <f>F251*G251</f>
        <v/>
      </c>
      <c r="I251" s="50" t="n"/>
      <c r="J251" s="68" t="n"/>
      <c r="K251" s="50" t="n"/>
      <c r="L251" s="65" t="n"/>
      <c r="M251" s="70">
        <f>VLOOKUP(L251,'SKU Data'!A:D,4,0)</f>
        <v/>
      </c>
    </row>
    <row r="252" ht="21.75" customFormat="1" customHeight="1" s="71">
      <c r="A252" s="86" t="n"/>
      <c r="B252" s="83" t="n"/>
      <c r="C252" s="50" t="n"/>
      <c r="D252" s="50" t="n"/>
      <c r="E252" s="68">
        <f>VLOOKUP(L252,'SKU Data'!A:B,2,0)</f>
        <v/>
      </c>
      <c r="F252" s="50" t="n"/>
      <c r="G252" s="126">
        <f>VLOOKUP(L252,'SKU Data'!A:C,3,0)</f>
        <v/>
      </c>
      <c r="H252" s="126">
        <f>F252*G252</f>
        <v/>
      </c>
      <c r="I252" s="50" t="n"/>
      <c r="J252" s="68" t="n"/>
      <c r="K252" s="50" t="n"/>
      <c r="L252" s="65" t="n"/>
      <c r="M252" s="70">
        <f>VLOOKUP(L252,'SKU Data'!A:D,4,0)</f>
        <v/>
      </c>
    </row>
    <row r="253" ht="21.75" customFormat="1" customHeight="1" s="71">
      <c r="A253" s="86" t="n"/>
      <c r="B253" s="83" t="n"/>
      <c r="C253" s="50" t="n"/>
      <c r="D253" s="50" t="n"/>
      <c r="E253" s="68">
        <f>VLOOKUP(L253,'SKU Data'!A:B,2,0)</f>
        <v/>
      </c>
      <c r="F253" s="50" t="n"/>
      <c r="G253" s="126">
        <f>VLOOKUP(L253,'SKU Data'!A:C,3,0)</f>
        <v/>
      </c>
      <c r="H253" s="126">
        <f>F253*G253</f>
        <v/>
      </c>
      <c r="I253" s="50" t="n"/>
      <c r="J253" s="68" t="n"/>
      <c r="K253" s="50" t="n"/>
      <c r="L253" s="65" t="n"/>
      <c r="M253" s="70">
        <f>VLOOKUP(L253,'SKU Data'!A:D,4,0)</f>
        <v/>
      </c>
    </row>
    <row r="254" ht="21.75" customFormat="1" customHeight="1" s="71">
      <c r="A254" s="86" t="n"/>
      <c r="B254" s="83" t="n"/>
      <c r="C254" s="50" t="n"/>
      <c r="D254" s="50" t="n"/>
      <c r="E254" s="68">
        <f>VLOOKUP(L254,'SKU Data'!A:B,2,0)</f>
        <v/>
      </c>
      <c r="F254" s="50" t="n"/>
      <c r="G254" s="126">
        <f>VLOOKUP(L254,'SKU Data'!A:C,3,0)</f>
        <v/>
      </c>
      <c r="H254" s="126">
        <f>F254*G254</f>
        <v/>
      </c>
      <c r="I254" s="50" t="n"/>
      <c r="J254" s="68" t="n"/>
      <c r="K254" s="50" t="n"/>
      <c r="L254" s="65" t="n"/>
      <c r="M254" s="70">
        <f>VLOOKUP(L254,'SKU Data'!A:D,4,0)</f>
        <v/>
      </c>
    </row>
    <row r="255" ht="21.75" customFormat="1" customHeight="1" s="71">
      <c r="A255" s="86" t="n"/>
      <c r="B255" s="83" t="n"/>
      <c r="C255" s="50" t="n"/>
      <c r="D255" s="50" t="n"/>
      <c r="E255" s="68">
        <f>VLOOKUP(L255,'SKU Data'!A:B,2,0)</f>
        <v/>
      </c>
      <c r="F255" s="50" t="n"/>
      <c r="G255" s="126">
        <f>VLOOKUP(L255,'SKU Data'!A:C,3,0)</f>
        <v/>
      </c>
      <c r="H255" s="126">
        <f>F255*G255</f>
        <v/>
      </c>
      <c r="I255" s="50" t="n"/>
      <c r="J255" s="68" t="n"/>
      <c r="K255" s="50" t="n"/>
      <c r="L255" s="65" t="n"/>
      <c r="M255" s="70">
        <f>VLOOKUP(L255,'SKU Data'!A:D,4,0)</f>
        <v/>
      </c>
    </row>
    <row r="256" ht="21.75" customFormat="1" customHeight="1" s="71">
      <c r="A256" s="86" t="n"/>
      <c r="B256" s="83" t="n"/>
      <c r="C256" s="50" t="n"/>
      <c r="D256" s="50" t="n"/>
      <c r="E256" s="68">
        <f>VLOOKUP(L256,'SKU Data'!A:B,2,0)</f>
        <v/>
      </c>
      <c r="F256" s="50" t="n"/>
      <c r="G256" s="126">
        <f>VLOOKUP(L256,'SKU Data'!A:C,3,0)</f>
        <v/>
      </c>
      <c r="H256" s="126">
        <f>F256*G256</f>
        <v/>
      </c>
      <c r="I256" s="50" t="n"/>
      <c r="J256" s="68" t="n"/>
      <c r="K256" s="50" t="n"/>
      <c r="L256" s="65" t="n"/>
      <c r="M256" s="70">
        <f>VLOOKUP(L256,'SKU Data'!A:D,4,0)</f>
        <v/>
      </c>
    </row>
    <row r="257" ht="21.75" customFormat="1" customHeight="1" s="71">
      <c r="A257" s="86" t="n"/>
      <c r="B257" s="83" t="n"/>
      <c r="C257" s="50" t="n"/>
      <c r="D257" s="50" t="n"/>
      <c r="E257" s="68">
        <f>VLOOKUP(L257,'SKU Data'!A:B,2,0)</f>
        <v/>
      </c>
      <c r="F257" s="50" t="n"/>
      <c r="G257" s="126">
        <f>VLOOKUP(L257,'SKU Data'!A:C,3,0)</f>
        <v/>
      </c>
      <c r="H257" s="126">
        <f>F257*G257</f>
        <v/>
      </c>
      <c r="I257" s="50" t="n"/>
      <c r="J257" s="68" t="n"/>
      <c r="K257" s="50" t="n"/>
      <c r="L257" s="65" t="n"/>
      <c r="M257" s="70">
        <f>VLOOKUP(L257,'SKU Data'!A:D,4,0)</f>
        <v/>
      </c>
    </row>
    <row r="258" ht="21.75" customFormat="1" customHeight="1" s="71">
      <c r="A258" s="86" t="n"/>
      <c r="B258" s="83" t="n"/>
      <c r="C258" s="50" t="n"/>
      <c r="D258" s="50" t="n"/>
      <c r="E258" s="68">
        <f>VLOOKUP(L258,'SKU Data'!A:B,2,0)</f>
        <v/>
      </c>
      <c r="F258" s="50" t="n"/>
      <c r="G258" s="126">
        <f>VLOOKUP(L258,'SKU Data'!A:C,3,0)</f>
        <v/>
      </c>
      <c r="H258" s="126">
        <f>F258*G258</f>
        <v/>
      </c>
      <c r="I258" s="50" t="n"/>
      <c r="J258" s="68" t="n"/>
      <c r="K258" s="50" t="n"/>
      <c r="L258" s="65" t="n"/>
      <c r="M258" s="70">
        <f>VLOOKUP(L258,'SKU Data'!A:D,4,0)</f>
        <v/>
      </c>
    </row>
    <row r="259" ht="21.75" customFormat="1" customHeight="1" s="71">
      <c r="A259" s="86" t="n"/>
      <c r="B259" s="83" t="n"/>
      <c r="C259" s="50" t="n"/>
      <c r="D259" s="50" t="n"/>
      <c r="E259" s="68">
        <f>VLOOKUP(L259,'SKU Data'!A:B,2,0)</f>
        <v/>
      </c>
      <c r="F259" s="50" t="n"/>
      <c r="G259" s="126">
        <f>VLOOKUP(L259,'SKU Data'!A:C,3,0)</f>
        <v/>
      </c>
      <c r="H259" s="126">
        <f>F259*G259</f>
        <v/>
      </c>
      <c r="I259" s="50" t="n"/>
      <c r="J259" s="68" t="n"/>
      <c r="K259" s="50" t="n"/>
      <c r="L259" s="65" t="n"/>
      <c r="M259" s="70">
        <f>VLOOKUP(L259,'SKU Data'!A:D,4,0)</f>
        <v/>
      </c>
    </row>
    <row r="260" ht="21.75" customFormat="1" customHeight="1" s="71">
      <c r="A260" s="86" t="n"/>
      <c r="B260" s="83" t="n"/>
      <c r="C260" s="50" t="n"/>
      <c r="D260" s="50" t="n"/>
      <c r="E260" s="68">
        <f>VLOOKUP(L260,'SKU Data'!A:B,2,0)</f>
        <v/>
      </c>
      <c r="F260" s="50" t="n"/>
      <c r="G260" s="126">
        <f>VLOOKUP(L260,'SKU Data'!A:C,3,0)</f>
        <v/>
      </c>
      <c r="H260" s="126">
        <f>F260*G260</f>
        <v/>
      </c>
      <c r="I260" s="50" t="n"/>
      <c r="J260" s="68" t="n"/>
      <c r="K260" s="50" t="n"/>
      <c r="L260" s="65" t="n"/>
      <c r="M260" s="70">
        <f>VLOOKUP(L260,'SKU Data'!A:D,4,0)</f>
        <v/>
      </c>
    </row>
    <row r="261" ht="21.75" customFormat="1" customHeight="1" s="71">
      <c r="A261" s="86" t="n"/>
      <c r="B261" s="83" t="n"/>
      <c r="C261" s="50" t="n"/>
      <c r="D261" s="50" t="n"/>
      <c r="E261" s="68">
        <f>VLOOKUP(L261,'SKU Data'!A:B,2,0)</f>
        <v/>
      </c>
      <c r="F261" s="50" t="n"/>
      <c r="G261" s="126">
        <f>VLOOKUP(L261,'SKU Data'!A:C,3,0)</f>
        <v/>
      </c>
      <c r="H261" s="126">
        <f>F261*G261</f>
        <v/>
      </c>
      <c r="I261" s="50" t="n"/>
      <c r="J261" s="68" t="n"/>
      <c r="K261" s="50" t="n"/>
      <c r="L261" s="65" t="n"/>
      <c r="M261" s="70">
        <f>VLOOKUP(L261,'SKU Data'!A:D,4,0)</f>
        <v/>
      </c>
    </row>
    <row r="262" ht="21.75" customFormat="1" customHeight="1" s="71">
      <c r="A262" s="86" t="n"/>
      <c r="B262" s="83" t="n"/>
      <c r="C262" s="50" t="n"/>
      <c r="D262" s="50" t="n"/>
      <c r="E262" s="68">
        <f>VLOOKUP(L262,'SKU Data'!A:B,2,0)</f>
        <v/>
      </c>
      <c r="F262" s="50" t="n"/>
      <c r="G262" s="126">
        <f>VLOOKUP(L262,'SKU Data'!A:C,3,0)</f>
        <v/>
      </c>
      <c r="H262" s="126">
        <f>F262*G262</f>
        <v/>
      </c>
      <c r="I262" s="50" t="n"/>
      <c r="J262" s="68" t="n"/>
      <c r="K262" s="50" t="n"/>
      <c r="L262" s="65" t="n"/>
      <c r="M262" s="70">
        <f>VLOOKUP(L262,'SKU Data'!A:D,4,0)</f>
        <v/>
      </c>
    </row>
    <row r="263" ht="21.75" customFormat="1" customHeight="1" s="71">
      <c r="A263" s="86" t="n"/>
      <c r="B263" s="83" t="n"/>
      <c r="C263" s="50" t="n"/>
      <c r="D263" s="50" t="n"/>
      <c r="E263" s="68">
        <f>VLOOKUP(L263,'SKU Data'!A:B,2,0)</f>
        <v/>
      </c>
      <c r="F263" s="50" t="n"/>
      <c r="G263" s="126">
        <f>VLOOKUP(L263,'SKU Data'!A:C,3,0)</f>
        <v/>
      </c>
      <c r="H263" s="126">
        <f>F263*G263</f>
        <v/>
      </c>
      <c r="I263" s="50" t="n"/>
      <c r="J263" s="68" t="n"/>
      <c r="K263" s="50" t="n"/>
      <c r="L263" s="65" t="n"/>
      <c r="M263" s="70">
        <f>VLOOKUP(L263,'SKU Data'!A:D,4,0)</f>
        <v/>
      </c>
    </row>
    <row r="264" ht="21.75" customFormat="1" customHeight="1" s="71">
      <c r="A264" s="86" t="n"/>
      <c r="B264" s="83" t="n"/>
      <c r="C264" s="50" t="n"/>
      <c r="D264" s="50" t="n"/>
      <c r="E264" s="68">
        <f>VLOOKUP(L264,'SKU Data'!A:B,2,0)</f>
        <v/>
      </c>
      <c r="F264" s="50" t="n"/>
      <c r="G264" s="126">
        <f>VLOOKUP(L264,'SKU Data'!A:C,3,0)</f>
        <v/>
      </c>
      <c r="H264" s="126">
        <f>F264*G264</f>
        <v/>
      </c>
      <c r="I264" s="50" t="n"/>
      <c r="J264" s="68" t="n"/>
      <c r="K264" s="50" t="n"/>
      <c r="L264" s="65" t="n"/>
      <c r="M264" s="70">
        <f>VLOOKUP(L264,'SKU Data'!A:D,4,0)</f>
        <v/>
      </c>
    </row>
    <row r="265" ht="21.75" customFormat="1" customHeight="1" s="71">
      <c r="A265" s="86" t="n"/>
      <c r="B265" s="83" t="n"/>
      <c r="C265" s="50" t="n"/>
      <c r="D265" s="50" t="n"/>
      <c r="E265" s="68">
        <f>VLOOKUP(L265,'SKU Data'!A:B,2,0)</f>
        <v/>
      </c>
      <c r="F265" s="50" t="n"/>
      <c r="G265" s="126">
        <f>VLOOKUP(L265,'SKU Data'!A:C,3,0)</f>
        <v/>
      </c>
      <c r="H265" s="126">
        <f>F265*G265</f>
        <v/>
      </c>
      <c r="I265" s="50" t="n"/>
      <c r="J265" s="68" t="n"/>
      <c r="K265" s="50" t="n"/>
      <c r="L265" s="65" t="n"/>
      <c r="M265" s="70">
        <f>VLOOKUP(L265,'SKU Data'!A:D,4,0)</f>
        <v/>
      </c>
    </row>
    <row r="266" ht="21.75" customFormat="1" customHeight="1" s="71">
      <c r="A266" s="86" t="n"/>
      <c r="B266" s="83" t="n"/>
      <c r="C266" s="50" t="n"/>
      <c r="D266" s="50" t="n"/>
      <c r="E266" s="68">
        <f>VLOOKUP(L266,'SKU Data'!A:B,2,0)</f>
        <v/>
      </c>
      <c r="F266" s="50" t="n"/>
      <c r="G266" s="126">
        <f>VLOOKUP(L266,'SKU Data'!A:C,3,0)</f>
        <v/>
      </c>
      <c r="H266" s="126">
        <f>F266*G266</f>
        <v/>
      </c>
      <c r="I266" s="50" t="n"/>
      <c r="J266" s="68" t="n"/>
      <c r="K266" s="50" t="n"/>
      <c r="L266" s="65" t="n"/>
      <c r="M266" s="70">
        <f>VLOOKUP(L266,'SKU Data'!A:D,4,0)</f>
        <v/>
      </c>
    </row>
    <row r="267" ht="21.75" customFormat="1" customHeight="1" s="71">
      <c r="A267" s="86" t="n"/>
      <c r="B267" s="83" t="n"/>
      <c r="C267" s="50" t="n"/>
      <c r="D267" s="50" t="n"/>
      <c r="E267" s="68">
        <f>VLOOKUP(L267,'SKU Data'!A:B,2,0)</f>
        <v/>
      </c>
      <c r="F267" s="50" t="n"/>
      <c r="G267" s="126">
        <f>VLOOKUP(L267,'SKU Data'!A:C,3,0)</f>
        <v/>
      </c>
      <c r="H267" s="126">
        <f>F267*G267</f>
        <v/>
      </c>
      <c r="I267" s="50" t="n"/>
      <c r="J267" s="68" t="n"/>
      <c r="K267" s="50" t="n"/>
      <c r="L267" s="65" t="n"/>
      <c r="M267" s="70">
        <f>VLOOKUP(L267,'SKU Data'!A:D,4,0)</f>
        <v/>
      </c>
    </row>
    <row r="268" ht="21.75" customFormat="1" customHeight="1" s="71">
      <c r="A268" s="86" t="n"/>
      <c r="B268" s="83" t="n"/>
      <c r="C268" s="50" t="n"/>
      <c r="D268" s="50" t="n"/>
      <c r="E268" s="68">
        <f>VLOOKUP(L268,'SKU Data'!A:B,2,0)</f>
        <v/>
      </c>
      <c r="F268" s="50" t="n"/>
      <c r="G268" s="126">
        <f>VLOOKUP(L268,'SKU Data'!A:C,3,0)</f>
        <v/>
      </c>
      <c r="H268" s="126">
        <f>F268*G268</f>
        <v/>
      </c>
      <c r="I268" s="50" t="n"/>
      <c r="J268" s="68" t="n"/>
      <c r="K268" s="50" t="n"/>
      <c r="L268" s="65" t="n"/>
      <c r="M268" s="70">
        <f>VLOOKUP(L268,'SKU Data'!A:D,4,0)</f>
        <v/>
      </c>
    </row>
    <row r="269" ht="21.75" customFormat="1" customHeight="1" s="71">
      <c r="A269" s="86" t="n"/>
      <c r="B269" s="83" t="n"/>
      <c r="C269" s="50" t="n"/>
      <c r="D269" s="50" t="n"/>
      <c r="E269" s="68">
        <f>VLOOKUP(L269,'SKU Data'!A:B,2,0)</f>
        <v/>
      </c>
      <c r="F269" s="50" t="n"/>
      <c r="G269" s="126">
        <f>VLOOKUP(L269,'SKU Data'!A:C,3,0)</f>
        <v/>
      </c>
      <c r="H269" s="126">
        <f>F269*G269</f>
        <v/>
      </c>
      <c r="I269" s="50" t="n"/>
      <c r="J269" s="68" t="n"/>
      <c r="K269" s="50" t="n"/>
      <c r="L269" s="65" t="n"/>
      <c r="M269" s="70">
        <f>VLOOKUP(L269,'SKU Data'!A:D,4,0)</f>
        <v/>
      </c>
    </row>
    <row r="270" ht="21.75" customFormat="1" customHeight="1" s="71">
      <c r="A270" s="86" t="n"/>
      <c r="B270" s="83" t="n"/>
      <c r="C270" s="50" t="n"/>
      <c r="D270" s="50" t="n"/>
      <c r="E270" s="68">
        <f>VLOOKUP(L270,'SKU Data'!A:B,2,0)</f>
        <v/>
      </c>
      <c r="F270" s="50" t="n"/>
      <c r="G270" s="126">
        <f>VLOOKUP(L270,'SKU Data'!A:C,3,0)</f>
        <v/>
      </c>
      <c r="H270" s="126">
        <f>F270*G270</f>
        <v/>
      </c>
      <c r="I270" s="50" t="n"/>
      <c r="J270" s="68" t="n"/>
      <c r="K270" s="50" t="n"/>
      <c r="L270" s="65" t="n"/>
      <c r="M270" s="70">
        <f>VLOOKUP(L270,'SKU Data'!A:D,4,0)</f>
        <v/>
      </c>
    </row>
    <row r="271" ht="21.75" customFormat="1" customHeight="1" s="71">
      <c r="A271" s="86" t="n"/>
      <c r="B271" s="83" t="n"/>
      <c r="C271" s="50" t="n"/>
      <c r="D271" s="50" t="n"/>
      <c r="E271" s="68">
        <f>VLOOKUP(L271,'SKU Data'!A:B,2,0)</f>
        <v/>
      </c>
      <c r="F271" s="50" t="n"/>
      <c r="G271" s="126">
        <f>VLOOKUP(L271,'SKU Data'!A:C,3,0)</f>
        <v/>
      </c>
      <c r="H271" s="126">
        <f>F271*G271</f>
        <v/>
      </c>
      <c r="I271" s="50" t="n"/>
      <c r="J271" s="68" t="n"/>
      <c r="K271" s="50" t="n"/>
      <c r="L271" s="65" t="n"/>
      <c r="M271" s="70">
        <f>VLOOKUP(L271,'SKU Data'!A:D,4,0)</f>
        <v/>
      </c>
    </row>
    <row r="272" ht="21.75" customFormat="1" customHeight="1" s="71">
      <c r="A272" s="86" t="n"/>
      <c r="B272" s="83" t="n"/>
      <c r="C272" s="50" t="n"/>
      <c r="D272" s="50" t="n"/>
      <c r="E272" s="68">
        <f>VLOOKUP(L272,'SKU Data'!A:B,2,0)</f>
        <v/>
      </c>
      <c r="F272" s="50" t="n"/>
      <c r="G272" s="126">
        <f>VLOOKUP(L272,'SKU Data'!A:C,3,0)</f>
        <v/>
      </c>
      <c r="H272" s="126">
        <f>F272*G272</f>
        <v/>
      </c>
      <c r="I272" s="50" t="n"/>
      <c r="J272" s="68" t="n"/>
      <c r="K272" s="50" t="n"/>
      <c r="L272" s="65" t="n"/>
      <c r="M272" s="70">
        <f>VLOOKUP(L272,'SKU Data'!A:D,4,0)</f>
        <v/>
      </c>
    </row>
    <row r="273" ht="21.75" customFormat="1" customHeight="1" s="71">
      <c r="A273" s="86" t="n"/>
      <c r="B273" s="83" t="n"/>
      <c r="C273" s="50" t="n"/>
      <c r="D273" s="50" t="n"/>
      <c r="E273" s="68">
        <f>VLOOKUP(L273,'SKU Data'!A:B,2,0)</f>
        <v/>
      </c>
      <c r="F273" s="50" t="n"/>
      <c r="G273" s="126">
        <f>VLOOKUP(L273,'SKU Data'!A:C,3,0)</f>
        <v/>
      </c>
      <c r="H273" s="126">
        <f>F273*G273</f>
        <v/>
      </c>
      <c r="I273" s="50" t="n"/>
      <c r="J273" s="68" t="n"/>
      <c r="K273" s="50" t="n"/>
      <c r="L273" s="65" t="n"/>
      <c r="M273" s="70">
        <f>VLOOKUP(L273,'SKU Data'!A:D,4,0)</f>
        <v/>
      </c>
    </row>
    <row r="274" ht="21.75" customFormat="1" customHeight="1" s="71">
      <c r="A274" s="86" t="n"/>
      <c r="B274" s="83" t="n"/>
      <c r="C274" s="50" t="n"/>
      <c r="D274" s="50" t="n"/>
      <c r="E274" s="68">
        <f>VLOOKUP(L274,'SKU Data'!A:B,2,0)</f>
        <v/>
      </c>
      <c r="F274" s="50" t="n"/>
      <c r="G274" s="126">
        <f>VLOOKUP(L274,'SKU Data'!A:C,3,0)</f>
        <v/>
      </c>
      <c r="H274" s="126">
        <f>F274*G274</f>
        <v/>
      </c>
      <c r="I274" s="50" t="n"/>
      <c r="J274" s="68" t="n"/>
      <c r="K274" s="50" t="n"/>
      <c r="L274" s="65" t="n"/>
      <c r="M274" s="70">
        <f>VLOOKUP(L274,'SKU Data'!A:D,4,0)</f>
        <v/>
      </c>
    </row>
    <row r="275" ht="21.75" customFormat="1" customHeight="1" s="71">
      <c r="A275" s="86" t="n"/>
      <c r="B275" s="83" t="n"/>
      <c r="C275" s="50" t="n"/>
      <c r="D275" s="50" t="n"/>
      <c r="E275" s="68">
        <f>VLOOKUP(L275,'SKU Data'!A:B,2,0)</f>
        <v/>
      </c>
      <c r="F275" s="50" t="n"/>
      <c r="G275" s="126">
        <f>VLOOKUP(L275,'SKU Data'!A:C,3,0)</f>
        <v/>
      </c>
      <c r="H275" s="126">
        <f>F275*G275</f>
        <v/>
      </c>
      <c r="I275" s="50" t="n"/>
      <c r="J275" s="68" t="n"/>
      <c r="K275" s="50" t="n"/>
      <c r="L275" s="65" t="n"/>
      <c r="M275" s="70">
        <f>VLOOKUP(L275,'SKU Data'!A:D,4,0)</f>
        <v/>
      </c>
    </row>
    <row r="276" ht="21.75" customFormat="1" customHeight="1" s="71">
      <c r="A276" s="86" t="n"/>
      <c r="B276" s="83" t="n"/>
      <c r="C276" s="50" t="n"/>
      <c r="D276" s="50" t="n"/>
      <c r="E276" s="68">
        <f>VLOOKUP(L276,'SKU Data'!A:B,2,0)</f>
        <v/>
      </c>
      <c r="F276" s="50" t="n"/>
      <c r="G276" s="126">
        <f>VLOOKUP(L276,'SKU Data'!A:C,3,0)</f>
        <v/>
      </c>
      <c r="H276" s="126">
        <f>F276*G276</f>
        <v/>
      </c>
      <c r="I276" s="50" t="n"/>
      <c r="J276" s="68" t="n"/>
      <c r="K276" s="50" t="n"/>
      <c r="L276" s="65" t="n"/>
      <c r="M276" s="70">
        <f>VLOOKUP(L276,'SKU Data'!A:D,4,0)</f>
        <v/>
      </c>
    </row>
    <row r="277" ht="21.75" customFormat="1" customHeight="1" s="71">
      <c r="A277" s="86" t="n"/>
      <c r="B277" s="83" t="n"/>
      <c r="C277" s="50" t="n"/>
      <c r="D277" s="50" t="n"/>
      <c r="E277" s="68">
        <f>VLOOKUP(L277,'SKU Data'!A:B,2,0)</f>
        <v/>
      </c>
      <c r="F277" s="50" t="n"/>
      <c r="G277" s="126">
        <f>VLOOKUP(L277,'SKU Data'!A:C,3,0)</f>
        <v/>
      </c>
      <c r="H277" s="126">
        <f>F277*G277</f>
        <v/>
      </c>
      <c r="I277" s="50" t="n"/>
      <c r="J277" s="68" t="n"/>
      <c r="K277" s="50" t="n"/>
      <c r="L277" s="65" t="n"/>
      <c r="M277" s="70">
        <f>VLOOKUP(L277,'SKU Data'!A:D,4,0)</f>
        <v/>
      </c>
    </row>
    <row r="278" ht="21.75" customFormat="1" customHeight="1" s="71">
      <c r="A278" s="86" t="n"/>
      <c r="B278" s="83" t="n"/>
      <c r="C278" s="50" t="n"/>
      <c r="D278" s="50" t="n"/>
      <c r="E278" s="68">
        <f>VLOOKUP(L278,'SKU Data'!A:B,2,0)</f>
        <v/>
      </c>
      <c r="F278" s="50" t="n"/>
      <c r="G278" s="126">
        <f>VLOOKUP(L278,'SKU Data'!A:C,3,0)</f>
        <v/>
      </c>
      <c r="H278" s="126">
        <f>F278*G278</f>
        <v/>
      </c>
      <c r="I278" s="50" t="n"/>
      <c r="J278" s="68" t="n"/>
      <c r="K278" s="50" t="n"/>
      <c r="L278" s="65" t="n"/>
      <c r="M278" s="70">
        <f>VLOOKUP(L278,'SKU Data'!A:D,4,0)</f>
        <v/>
      </c>
    </row>
    <row r="279" ht="21.75" customFormat="1" customHeight="1" s="71">
      <c r="A279" s="86" t="n"/>
      <c r="B279" s="83" t="n"/>
      <c r="C279" s="50" t="n"/>
      <c r="D279" s="50" t="n"/>
      <c r="E279" s="68">
        <f>VLOOKUP(L279,'SKU Data'!A:B,2,0)</f>
        <v/>
      </c>
      <c r="F279" s="50" t="n"/>
      <c r="G279" s="126">
        <f>VLOOKUP(L279,'SKU Data'!A:C,3,0)</f>
        <v/>
      </c>
      <c r="H279" s="126">
        <f>F279*G279</f>
        <v/>
      </c>
      <c r="I279" s="50" t="n"/>
      <c r="J279" s="68" t="n"/>
      <c r="K279" s="50" t="n"/>
      <c r="L279" s="65" t="n"/>
      <c r="M279" s="70">
        <f>VLOOKUP(L279,'SKU Data'!A:D,4,0)</f>
        <v/>
      </c>
    </row>
    <row r="280" ht="21.75" customFormat="1" customHeight="1" s="71">
      <c r="A280" s="86" t="n"/>
      <c r="B280" s="83" t="n"/>
      <c r="C280" s="50" t="n"/>
      <c r="D280" s="50" t="n"/>
      <c r="E280" s="68">
        <f>VLOOKUP(L280,'SKU Data'!A:B,2,0)</f>
        <v/>
      </c>
      <c r="F280" s="50" t="n"/>
      <c r="G280" s="126">
        <f>VLOOKUP(L280,'SKU Data'!A:C,3,0)</f>
        <v/>
      </c>
      <c r="H280" s="126">
        <f>F280*G280</f>
        <v/>
      </c>
      <c r="I280" s="50" t="n"/>
      <c r="J280" s="68" t="n"/>
      <c r="K280" s="50" t="n"/>
      <c r="L280" s="65" t="n"/>
      <c r="M280" s="70">
        <f>VLOOKUP(L280,'SKU Data'!A:D,4,0)</f>
        <v/>
      </c>
    </row>
    <row r="281" ht="21.75" customFormat="1" customHeight="1" s="71">
      <c r="A281" s="86" t="n"/>
      <c r="B281" s="83" t="n"/>
      <c r="C281" s="50" t="n"/>
      <c r="D281" s="50" t="n"/>
      <c r="E281" s="68">
        <f>VLOOKUP(L281,'SKU Data'!A:B,2,0)</f>
        <v/>
      </c>
      <c r="F281" s="50" t="n"/>
      <c r="G281" s="126">
        <f>VLOOKUP(L281,'SKU Data'!A:C,3,0)</f>
        <v/>
      </c>
      <c r="H281" s="126">
        <f>F281*G281</f>
        <v/>
      </c>
      <c r="I281" s="50" t="n"/>
      <c r="J281" s="68" t="n"/>
      <c r="K281" s="50" t="n"/>
      <c r="L281" s="65" t="n"/>
      <c r="M281" s="70">
        <f>VLOOKUP(L281,'SKU Data'!A:D,4,0)</f>
        <v/>
      </c>
    </row>
    <row r="282" ht="21.75" customFormat="1" customHeight="1" s="71">
      <c r="A282" s="86" t="n"/>
      <c r="B282" s="83" t="n"/>
      <c r="C282" s="50" t="n"/>
      <c r="D282" s="50" t="n"/>
      <c r="E282" s="68">
        <f>VLOOKUP(L282,'SKU Data'!A:B,2,0)</f>
        <v/>
      </c>
      <c r="F282" s="50" t="n"/>
      <c r="G282" s="126">
        <f>VLOOKUP(L282,'SKU Data'!A:C,3,0)</f>
        <v/>
      </c>
      <c r="H282" s="126">
        <f>F282*G282</f>
        <v/>
      </c>
      <c r="I282" s="50" t="n"/>
      <c r="J282" s="68" t="n"/>
      <c r="K282" s="50" t="n"/>
      <c r="L282" s="65" t="n"/>
      <c r="M282" s="70">
        <f>VLOOKUP(L282,'SKU Data'!A:D,4,0)</f>
        <v/>
      </c>
    </row>
    <row r="283" ht="21.75" customFormat="1" customHeight="1" s="71">
      <c r="A283" s="86" t="n"/>
      <c r="B283" s="83" t="n"/>
      <c r="C283" s="50" t="n"/>
      <c r="D283" s="50" t="n"/>
      <c r="E283" s="68">
        <f>VLOOKUP(L283,'SKU Data'!A:B,2,0)</f>
        <v/>
      </c>
      <c r="F283" s="50" t="n"/>
      <c r="G283" s="126">
        <f>VLOOKUP(L283,'SKU Data'!A:C,3,0)</f>
        <v/>
      </c>
      <c r="H283" s="126">
        <f>F283*G283</f>
        <v/>
      </c>
      <c r="I283" s="50" t="n"/>
      <c r="J283" s="68" t="n"/>
      <c r="K283" s="50" t="n"/>
      <c r="L283" s="65" t="n"/>
      <c r="M283" s="70">
        <f>VLOOKUP(L283,'SKU Data'!A:D,4,0)</f>
        <v/>
      </c>
    </row>
    <row r="284" ht="21.75" customFormat="1" customHeight="1" s="71">
      <c r="A284" s="86" t="n"/>
      <c r="B284" s="83" t="n"/>
      <c r="C284" s="50" t="n"/>
      <c r="D284" s="50" t="n"/>
      <c r="E284" s="68">
        <f>VLOOKUP(L284,'SKU Data'!A:B,2,0)</f>
        <v/>
      </c>
      <c r="F284" s="50" t="n"/>
      <c r="G284" s="126">
        <f>VLOOKUP(L284,'SKU Data'!A:C,3,0)</f>
        <v/>
      </c>
      <c r="H284" s="126">
        <f>F284*G284</f>
        <v/>
      </c>
      <c r="I284" s="50" t="n"/>
      <c r="J284" s="68" t="n"/>
      <c r="K284" s="50" t="n"/>
      <c r="L284" s="65" t="n"/>
      <c r="M284" s="70">
        <f>VLOOKUP(L284,'SKU Data'!A:D,4,0)</f>
        <v/>
      </c>
    </row>
    <row r="285" ht="21.75" customFormat="1" customHeight="1" s="71">
      <c r="A285" s="86" t="n"/>
      <c r="B285" s="83" t="n"/>
      <c r="C285" s="50" t="n"/>
      <c r="D285" s="50" t="n"/>
      <c r="E285" s="68">
        <f>VLOOKUP(L285,'SKU Data'!A:B,2,0)</f>
        <v/>
      </c>
      <c r="F285" s="50" t="n"/>
      <c r="G285" s="126">
        <f>VLOOKUP(L285,'SKU Data'!A:C,3,0)</f>
        <v/>
      </c>
      <c r="H285" s="126">
        <f>F285*G285</f>
        <v/>
      </c>
      <c r="I285" s="50" t="n"/>
      <c r="J285" s="68" t="n"/>
      <c r="K285" s="50" t="n"/>
      <c r="L285" s="65" t="n"/>
      <c r="M285" s="70">
        <f>VLOOKUP(L285,'SKU Data'!A:D,4,0)</f>
        <v/>
      </c>
    </row>
    <row r="286" ht="21.75" customFormat="1" customHeight="1" s="71">
      <c r="A286" s="86" t="n"/>
      <c r="B286" s="83" t="n"/>
      <c r="C286" s="50" t="n"/>
      <c r="D286" s="50" t="n"/>
      <c r="E286" s="68">
        <f>VLOOKUP(L286,'SKU Data'!A:B,2,0)</f>
        <v/>
      </c>
      <c r="F286" s="50" t="n"/>
      <c r="G286" s="126">
        <f>VLOOKUP(L286,'SKU Data'!A:C,3,0)</f>
        <v/>
      </c>
      <c r="H286" s="126">
        <f>F286*G286</f>
        <v/>
      </c>
      <c r="I286" s="50" t="n"/>
      <c r="J286" s="68" t="n"/>
      <c r="K286" s="50" t="n"/>
      <c r="L286" s="65" t="n"/>
      <c r="M286" s="70">
        <f>VLOOKUP(L286,'SKU Data'!A:D,4,0)</f>
        <v/>
      </c>
    </row>
    <row r="287" ht="21.75" customFormat="1" customHeight="1" s="71">
      <c r="A287" s="86" t="n"/>
      <c r="B287" s="83" t="n"/>
      <c r="C287" s="50" t="n"/>
      <c r="D287" s="50" t="n"/>
      <c r="E287" s="68">
        <f>VLOOKUP(L287,'SKU Data'!A:B,2,0)</f>
        <v/>
      </c>
      <c r="F287" s="50" t="n"/>
      <c r="G287" s="126">
        <f>VLOOKUP(L287,'SKU Data'!A:C,3,0)</f>
        <v/>
      </c>
      <c r="H287" s="126">
        <f>F287*G287</f>
        <v/>
      </c>
      <c r="I287" s="50" t="n"/>
      <c r="J287" s="68" t="n"/>
      <c r="K287" s="50" t="n"/>
      <c r="L287" s="65" t="n"/>
      <c r="M287" s="70">
        <f>VLOOKUP(L287,'SKU Data'!A:D,4,0)</f>
        <v/>
      </c>
    </row>
    <row r="288" ht="21.75" customFormat="1" customHeight="1" s="71">
      <c r="A288" s="86" t="n"/>
      <c r="B288" s="83" t="n"/>
      <c r="C288" s="50" t="n"/>
      <c r="D288" s="50" t="n"/>
      <c r="E288" s="68">
        <f>VLOOKUP(L288,'SKU Data'!A:B,2,0)</f>
        <v/>
      </c>
      <c r="F288" s="50" t="n"/>
      <c r="G288" s="126">
        <f>VLOOKUP(L288,'SKU Data'!A:C,3,0)</f>
        <v/>
      </c>
      <c r="H288" s="126">
        <f>F288*G288</f>
        <v/>
      </c>
      <c r="I288" s="50" t="n"/>
      <c r="J288" s="68" t="n"/>
      <c r="K288" s="50" t="n"/>
      <c r="L288" s="65" t="n"/>
      <c r="M288" s="70">
        <f>VLOOKUP(L288,'SKU Data'!A:D,4,0)</f>
        <v/>
      </c>
    </row>
    <row r="289" ht="21.75" customFormat="1" customHeight="1" s="71">
      <c r="A289" s="86" t="n"/>
      <c r="B289" s="83" t="n"/>
      <c r="C289" s="50" t="n"/>
      <c r="D289" s="50" t="n"/>
      <c r="E289" s="68">
        <f>VLOOKUP(L289,'SKU Data'!A:B,2,0)</f>
        <v/>
      </c>
      <c r="F289" s="50" t="n"/>
      <c r="G289" s="126">
        <f>VLOOKUP(L289,'SKU Data'!A:C,3,0)</f>
        <v/>
      </c>
      <c r="H289" s="126">
        <f>F289*G289</f>
        <v/>
      </c>
      <c r="I289" s="50" t="n"/>
      <c r="J289" s="68" t="n"/>
      <c r="K289" s="50" t="n"/>
      <c r="L289" s="65" t="n"/>
      <c r="M289" s="70">
        <f>VLOOKUP(L289,'SKU Data'!A:D,4,0)</f>
        <v/>
      </c>
    </row>
    <row r="290" ht="21.75" customFormat="1" customHeight="1" s="71">
      <c r="A290" s="86" t="n"/>
      <c r="B290" s="83" t="n"/>
      <c r="C290" s="50" t="n"/>
      <c r="D290" s="50" t="n"/>
      <c r="E290" s="68">
        <f>VLOOKUP(L290,'SKU Data'!A:B,2,0)</f>
        <v/>
      </c>
      <c r="F290" s="50" t="n"/>
      <c r="G290" s="126">
        <f>VLOOKUP(L290,'SKU Data'!A:C,3,0)</f>
        <v/>
      </c>
      <c r="H290" s="126">
        <f>F290*G290</f>
        <v/>
      </c>
      <c r="I290" s="50" t="n"/>
      <c r="J290" s="68" t="n"/>
      <c r="K290" s="50" t="n"/>
      <c r="L290" s="65" t="n"/>
      <c r="M290" s="70">
        <f>VLOOKUP(L290,'SKU Data'!A:D,4,0)</f>
        <v/>
      </c>
    </row>
    <row r="291" ht="21.75" customFormat="1" customHeight="1" s="71">
      <c r="A291" s="86" t="n"/>
      <c r="B291" s="83" t="n"/>
      <c r="C291" s="50" t="n"/>
      <c r="D291" s="50" t="n"/>
      <c r="E291" s="68">
        <f>VLOOKUP(L291,'SKU Data'!A:B,2,0)</f>
        <v/>
      </c>
      <c r="F291" s="50" t="n"/>
      <c r="G291" s="126">
        <f>VLOOKUP(L291,'SKU Data'!A:C,3,0)</f>
        <v/>
      </c>
      <c r="H291" s="126">
        <f>F291*G291</f>
        <v/>
      </c>
      <c r="I291" s="50" t="n"/>
      <c r="J291" s="68" t="n"/>
      <c r="K291" s="50" t="n"/>
      <c r="L291" s="65" t="n"/>
      <c r="M291" s="70">
        <f>VLOOKUP(L291,'SKU Data'!A:D,4,0)</f>
        <v/>
      </c>
    </row>
    <row r="292" ht="21.75" customFormat="1" customHeight="1" s="71">
      <c r="A292" s="86" t="n"/>
      <c r="B292" s="83" t="n"/>
      <c r="C292" s="50" t="n"/>
      <c r="D292" s="50" t="n"/>
      <c r="E292" s="68">
        <f>VLOOKUP(L292,'SKU Data'!A:B,2,0)</f>
        <v/>
      </c>
      <c r="F292" s="50" t="n"/>
      <c r="G292" s="126">
        <f>VLOOKUP(L292,'SKU Data'!A:C,3,0)</f>
        <v/>
      </c>
      <c r="H292" s="126">
        <f>F292*G292</f>
        <v/>
      </c>
      <c r="I292" s="50" t="n"/>
      <c r="J292" s="68" t="n"/>
      <c r="K292" s="50" t="n"/>
      <c r="L292" s="65" t="n"/>
      <c r="M292" s="70">
        <f>VLOOKUP(L292,'SKU Data'!A:D,4,0)</f>
        <v/>
      </c>
    </row>
    <row r="293" ht="21.75" customFormat="1" customHeight="1" s="71">
      <c r="A293" s="86" t="n"/>
      <c r="B293" s="83" t="n"/>
      <c r="C293" s="50" t="n"/>
      <c r="D293" s="50" t="n"/>
      <c r="E293" s="68">
        <f>VLOOKUP(L293,'SKU Data'!A:B,2,0)</f>
        <v/>
      </c>
      <c r="F293" s="50" t="n"/>
      <c r="G293" s="126">
        <f>VLOOKUP(L293,'SKU Data'!A:C,3,0)</f>
        <v/>
      </c>
      <c r="H293" s="126">
        <f>F293*G293</f>
        <v/>
      </c>
      <c r="I293" s="50" t="n"/>
      <c r="J293" s="68" t="n"/>
      <c r="K293" s="50" t="n"/>
      <c r="L293" s="65" t="n"/>
      <c r="M293" s="70">
        <f>VLOOKUP(L293,'SKU Data'!A:D,4,0)</f>
        <v/>
      </c>
    </row>
    <row r="294" ht="21.75" customFormat="1" customHeight="1" s="71">
      <c r="A294" s="86" t="n"/>
      <c r="B294" s="83" t="n"/>
      <c r="C294" s="50" t="n"/>
      <c r="D294" s="50" t="n"/>
      <c r="E294" s="68">
        <f>VLOOKUP(L294,'SKU Data'!A:B,2,0)</f>
        <v/>
      </c>
      <c r="F294" s="50" t="n"/>
      <c r="G294" s="126">
        <f>VLOOKUP(L294,'SKU Data'!A:C,3,0)</f>
        <v/>
      </c>
      <c r="H294" s="126">
        <f>F294*G294</f>
        <v/>
      </c>
      <c r="I294" s="50" t="n"/>
      <c r="J294" s="68" t="n"/>
      <c r="K294" s="50" t="n"/>
      <c r="L294" s="65" t="n"/>
      <c r="M294" s="70">
        <f>VLOOKUP(L294,'SKU Data'!A:D,4,0)</f>
        <v/>
      </c>
    </row>
    <row r="295" ht="21.75" customFormat="1" customHeight="1" s="71">
      <c r="A295" s="86" t="n"/>
      <c r="B295" s="83" t="n"/>
      <c r="C295" s="50" t="n"/>
      <c r="D295" s="50" t="n"/>
      <c r="E295" s="68">
        <f>VLOOKUP(L295,'SKU Data'!A:B,2,0)</f>
        <v/>
      </c>
      <c r="F295" s="50" t="n"/>
      <c r="G295" s="126">
        <f>VLOOKUP(L295,'SKU Data'!A:C,3,0)</f>
        <v/>
      </c>
      <c r="H295" s="126">
        <f>F295*G295</f>
        <v/>
      </c>
      <c r="I295" s="50" t="n"/>
      <c r="J295" s="68" t="n"/>
      <c r="K295" s="50" t="n"/>
      <c r="L295" s="65" t="n"/>
      <c r="M295" s="70">
        <f>VLOOKUP(L295,'SKU Data'!A:D,4,0)</f>
        <v/>
      </c>
    </row>
    <row r="296" ht="21.75" customFormat="1" customHeight="1" s="71">
      <c r="A296" s="86" t="n"/>
      <c r="B296" s="83" t="n"/>
      <c r="C296" s="50" t="n"/>
      <c r="D296" s="50" t="n"/>
      <c r="E296" s="68">
        <f>VLOOKUP(L296,'SKU Data'!A:B,2,0)</f>
        <v/>
      </c>
      <c r="F296" s="50" t="n"/>
      <c r="G296" s="126">
        <f>VLOOKUP(L296,'SKU Data'!A:C,3,0)</f>
        <v/>
      </c>
      <c r="H296" s="126">
        <f>F296*G296</f>
        <v/>
      </c>
      <c r="I296" s="50" t="n"/>
      <c r="J296" s="68" t="n"/>
      <c r="K296" s="50" t="n"/>
      <c r="L296" s="65" t="n"/>
      <c r="M296" s="70">
        <f>VLOOKUP(L296,'SKU Data'!A:D,4,0)</f>
        <v/>
      </c>
    </row>
    <row r="297" ht="21.75" customFormat="1" customHeight="1" s="71">
      <c r="A297" s="86" t="n"/>
      <c r="B297" s="83" t="n"/>
      <c r="C297" s="50" t="n"/>
      <c r="D297" s="50" t="n"/>
      <c r="E297" s="68">
        <f>VLOOKUP(L297,'SKU Data'!A:B,2,0)</f>
        <v/>
      </c>
      <c r="F297" s="50" t="n"/>
      <c r="G297" s="126">
        <f>VLOOKUP(L297,'SKU Data'!A:C,3,0)</f>
        <v/>
      </c>
      <c r="H297" s="126">
        <f>F297*G297</f>
        <v/>
      </c>
      <c r="I297" s="50" t="n"/>
      <c r="J297" s="68" t="n"/>
      <c r="K297" s="50" t="n"/>
      <c r="L297" s="65" t="n"/>
      <c r="M297" s="70">
        <f>VLOOKUP(L297,'SKU Data'!A:D,4,0)</f>
        <v/>
      </c>
    </row>
    <row r="298" ht="21.75" customFormat="1" customHeight="1" s="71">
      <c r="A298" s="86" t="n"/>
      <c r="B298" s="83" t="n"/>
      <c r="C298" s="50" t="n"/>
      <c r="D298" s="50" t="n"/>
      <c r="E298" s="68">
        <f>VLOOKUP(L298,'SKU Data'!A:B,2,0)</f>
        <v/>
      </c>
      <c r="F298" s="50" t="n"/>
      <c r="G298" s="126">
        <f>VLOOKUP(L298,'SKU Data'!A:C,3,0)</f>
        <v/>
      </c>
      <c r="H298" s="126">
        <f>F298*G298</f>
        <v/>
      </c>
      <c r="I298" s="50" t="n"/>
      <c r="J298" s="68" t="n"/>
      <c r="K298" s="50" t="n"/>
      <c r="L298" s="65" t="n"/>
      <c r="M298" s="70">
        <f>VLOOKUP(L298,'SKU Data'!A:D,4,0)</f>
        <v/>
      </c>
    </row>
    <row r="299" ht="21.75" customFormat="1" customHeight="1" s="71">
      <c r="A299" s="86" t="n"/>
      <c r="B299" s="83" t="n"/>
      <c r="C299" s="50" t="n"/>
      <c r="D299" s="50" t="n"/>
      <c r="E299" s="68">
        <f>VLOOKUP(L299,'SKU Data'!A:B,2,0)</f>
        <v/>
      </c>
      <c r="F299" s="50" t="n"/>
      <c r="G299" s="126">
        <f>VLOOKUP(L299,'SKU Data'!A:C,3,0)</f>
        <v/>
      </c>
      <c r="H299" s="126">
        <f>F299*G299</f>
        <v/>
      </c>
      <c r="I299" s="50" t="n"/>
      <c r="J299" s="68" t="n"/>
      <c r="K299" s="50" t="n"/>
      <c r="L299" s="65" t="n"/>
      <c r="M299" s="70">
        <f>VLOOKUP(L299,'SKU Data'!A:D,4,0)</f>
        <v/>
      </c>
    </row>
    <row r="300" ht="21.75" customFormat="1" customHeight="1" s="71">
      <c r="A300" s="86" t="n"/>
      <c r="B300" s="83" t="n"/>
      <c r="C300" s="50" t="n"/>
      <c r="D300" s="50" t="n"/>
      <c r="E300" s="68">
        <f>VLOOKUP(L300,'SKU Data'!A:B,2,0)</f>
        <v/>
      </c>
      <c r="F300" s="50" t="n"/>
      <c r="G300" s="126">
        <f>VLOOKUP(L300,'SKU Data'!A:C,3,0)</f>
        <v/>
      </c>
      <c r="H300" s="126">
        <f>F300*G300</f>
        <v/>
      </c>
      <c r="I300" s="50" t="n"/>
      <c r="J300" s="68" t="n"/>
      <c r="K300" s="50" t="n"/>
      <c r="L300" s="65" t="n"/>
      <c r="M300" s="70">
        <f>VLOOKUP(L300,'SKU Data'!A:D,4,0)</f>
        <v/>
      </c>
    </row>
    <row r="301" ht="21.75" customFormat="1" customHeight="1" s="71">
      <c r="A301" s="86" t="n"/>
      <c r="B301" s="83" t="n"/>
      <c r="C301" s="50" t="n"/>
      <c r="D301" s="50" t="n"/>
      <c r="E301" s="68">
        <f>VLOOKUP(L301,'SKU Data'!A:B,2,0)</f>
        <v/>
      </c>
      <c r="F301" s="50" t="n"/>
      <c r="G301" s="126">
        <f>VLOOKUP(L301,'SKU Data'!A:C,3,0)</f>
        <v/>
      </c>
      <c r="H301" s="126">
        <f>F301*G301</f>
        <v/>
      </c>
      <c r="I301" s="50" t="n"/>
      <c r="J301" s="68" t="n"/>
      <c r="K301" s="50" t="n"/>
      <c r="L301" s="65" t="n"/>
      <c r="M301" s="70">
        <f>VLOOKUP(L301,'SKU Data'!A:D,4,0)</f>
        <v/>
      </c>
    </row>
    <row r="302" ht="21.75" customFormat="1" customHeight="1" s="71">
      <c r="A302" s="86" t="n"/>
      <c r="B302" s="83" t="n"/>
      <c r="C302" s="50" t="n"/>
      <c r="D302" s="50" t="n"/>
      <c r="E302" s="68">
        <f>VLOOKUP(L302,'SKU Data'!A:B,2,0)</f>
        <v/>
      </c>
      <c r="F302" s="50" t="n"/>
      <c r="G302" s="126">
        <f>VLOOKUP(L302,'SKU Data'!A:C,3,0)</f>
        <v/>
      </c>
      <c r="H302" s="126">
        <f>F302*G302</f>
        <v/>
      </c>
      <c r="I302" s="50" t="n"/>
      <c r="J302" s="68" t="n"/>
      <c r="K302" s="50" t="n"/>
      <c r="L302" s="65" t="n"/>
      <c r="M302" s="70">
        <f>VLOOKUP(L302,'SKU Data'!A:D,4,0)</f>
        <v/>
      </c>
    </row>
    <row r="303" ht="21.75" customFormat="1" customHeight="1" s="71">
      <c r="A303" s="86" t="n"/>
      <c r="B303" s="83" t="n"/>
      <c r="C303" s="50" t="n"/>
      <c r="D303" s="50" t="n"/>
      <c r="E303" s="68">
        <f>VLOOKUP(L303,'SKU Data'!A:B,2,0)</f>
        <v/>
      </c>
      <c r="F303" s="50" t="n"/>
      <c r="G303" s="126">
        <f>VLOOKUP(L303,'SKU Data'!A:C,3,0)</f>
        <v/>
      </c>
      <c r="H303" s="126">
        <f>F303*G303</f>
        <v/>
      </c>
      <c r="I303" s="50" t="n"/>
      <c r="J303" s="68" t="n"/>
      <c r="K303" s="50" t="n"/>
      <c r="L303" s="65" t="n"/>
      <c r="M303" s="70">
        <f>VLOOKUP(L303,'SKU Data'!A:D,4,0)</f>
        <v/>
      </c>
    </row>
    <row r="304" ht="21.75" customFormat="1" customHeight="1" s="71">
      <c r="A304" s="86" t="n"/>
      <c r="B304" s="83" t="n"/>
      <c r="C304" s="50" t="n"/>
      <c r="D304" s="50" t="n"/>
      <c r="E304" s="68">
        <f>VLOOKUP(L304,'SKU Data'!A:B,2,0)</f>
        <v/>
      </c>
      <c r="F304" s="50" t="n"/>
      <c r="G304" s="126">
        <f>VLOOKUP(L304,'SKU Data'!A:C,3,0)</f>
        <v/>
      </c>
      <c r="H304" s="126">
        <f>F304*G304</f>
        <v/>
      </c>
      <c r="I304" s="50" t="n"/>
      <c r="J304" s="68" t="n"/>
      <c r="K304" s="50" t="n"/>
      <c r="L304" s="65" t="n"/>
      <c r="M304" s="70">
        <f>VLOOKUP(L304,'SKU Data'!A:D,4,0)</f>
        <v/>
      </c>
    </row>
    <row r="305" ht="21.75" customFormat="1" customHeight="1" s="71">
      <c r="A305" s="86" t="n"/>
      <c r="B305" s="83" t="n"/>
      <c r="C305" s="50" t="n"/>
      <c r="D305" s="50" t="n"/>
      <c r="E305" s="68">
        <f>VLOOKUP(L305,'SKU Data'!A:B,2,0)</f>
        <v/>
      </c>
      <c r="F305" s="50" t="n"/>
      <c r="G305" s="126">
        <f>VLOOKUP(L305,'SKU Data'!A:C,3,0)</f>
        <v/>
      </c>
      <c r="H305" s="126">
        <f>F305*G305</f>
        <v/>
      </c>
      <c r="I305" s="50" t="n"/>
      <c r="J305" s="68" t="n"/>
      <c r="K305" s="50" t="n"/>
      <c r="L305" s="65" t="n"/>
      <c r="M305" s="70">
        <f>VLOOKUP(L305,'SKU Data'!A:D,4,0)</f>
        <v/>
      </c>
    </row>
    <row r="306" ht="21.75" customFormat="1" customHeight="1" s="71">
      <c r="A306" s="86" t="n"/>
      <c r="B306" s="83" t="n"/>
      <c r="C306" s="50" t="n"/>
      <c r="D306" s="50" t="n"/>
      <c r="E306" s="68">
        <f>VLOOKUP(L306,'SKU Data'!A:B,2,0)</f>
        <v/>
      </c>
      <c r="F306" s="50" t="n"/>
      <c r="G306" s="126">
        <f>VLOOKUP(L306,'SKU Data'!A:C,3,0)</f>
        <v/>
      </c>
      <c r="H306" s="126">
        <f>F306*G306</f>
        <v/>
      </c>
      <c r="I306" s="50" t="n"/>
      <c r="J306" s="68" t="n"/>
      <c r="K306" s="50" t="n"/>
      <c r="L306" s="65" t="n"/>
      <c r="M306" s="70">
        <f>VLOOKUP(L306,'SKU Data'!A:D,4,0)</f>
        <v/>
      </c>
    </row>
    <row r="307" ht="21.75" customFormat="1" customHeight="1" s="71">
      <c r="A307" s="86" t="n"/>
      <c r="B307" s="83" t="n"/>
      <c r="C307" s="50" t="n"/>
      <c r="D307" s="50" t="n"/>
      <c r="E307" s="68">
        <f>VLOOKUP(L307,'SKU Data'!A:B,2,0)</f>
        <v/>
      </c>
      <c r="F307" s="50" t="n"/>
      <c r="G307" s="126">
        <f>VLOOKUP(L307,'SKU Data'!A:C,3,0)</f>
        <v/>
      </c>
      <c r="H307" s="126">
        <f>F307*G307</f>
        <v/>
      </c>
      <c r="I307" s="50" t="n"/>
      <c r="J307" s="68" t="n"/>
      <c r="K307" s="50" t="n"/>
      <c r="L307" s="65" t="n"/>
      <c r="M307" s="70">
        <f>VLOOKUP(L307,'SKU Data'!A:D,4,0)</f>
        <v/>
      </c>
    </row>
    <row r="308" ht="21.75" customFormat="1" customHeight="1" s="71">
      <c r="A308" s="86" t="n"/>
      <c r="B308" s="83" t="n"/>
      <c r="C308" s="50" t="n"/>
      <c r="D308" s="50" t="n"/>
      <c r="E308" s="68">
        <f>VLOOKUP(L308,'SKU Data'!A:B,2,0)</f>
        <v/>
      </c>
      <c r="F308" s="50" t="n"/>
      <c r="G308" s="126">
        <f>VLOOKUP(L308,'SKU Data'!A:C,3,0)</f>
        <v/>
      </c>
      <c r="H308" s="126">
        <f>F308*G308</f>
        <v/>
      </c>
      <c r="I308" s="50" t="n"/>
      <c r="J308" s="68" t="n"/>
      <c r="K308" s="50" t="n"/>
      <c r="L308" s="65" t="n"/>
      <c r="M308" s="70">
        <f>VLOOKUP(L308,'SKU Data'!A:D,4,0)</f>
        <v/>
      </c>
    </row>
    <row r="309" ht="21.75" customFormat="1" customHeight="1" s="71">
      <c r="A309" s="86" t="n"/>
      <c r="B309" s="83" t="n"/>
      <c r="C309" s="50" t="n"/>
      <c r="D309" s="50" t="n"/>
      <c r="E309" s="68">
        <f>VLOOKUP(L309,'SKU Data'!A:B,2,0)</f>
        <v/>
      </c>
      <c r="F309" s="50" t="n"/>
      <c r="G309" s="126">
        <f>VLOOKUP(L309,'SKU Data'!A:C,3,0)</f>
        <v/>
      </c>
      <c r="H309" s="126">
        <f>F309*G309</f>
        <v/>
      </c>
      <c r="I309" s="50" t="n"/>
      <c r="J309" s="68" t="n"/>
      <c r="K309" s="50" t="n"/>
      <c r="L309" s="65" t="n"/>
      <c r="M309" s="70">
        <f>VLOOKUP(L309,'SKU Data'!A:D,4,0)</f>
        <v/>
      </c>
    </row>
    <row r="310" ht="21.75" customFormat="1" customHeight="1" s="71">
      <c r="A310" s="86" t="n"/>
      <c r="B310" s="83" t="n"/>
      <c r="C310" s="50" t="n"/>
      <c r="D310" s="50" t="n"/>
      <c r="E310" s="68">
        <f>VLOOKUP(L310,'SKU Data'!A:B,2,0)</f>
        <v/>
      </c>
      <c r="F310" s="50" t="n"/>
      <c r="G310" s="126">
        <f>VLOOKUP(L310,'SKU Data'!A:C,3,0)</f>
        <v/>
      </c>
      <c r="H310" s="126">
        <f>F310*G310</f>
        <v/>
      </c>
      <c r="I310" s="50" t="n"/>
      <c r="J310" s="68" t="n"/>
      <c r="K310" s="50" t="n"/>
      <c r="L310" s="65" t="n"/>
      <c r="M310" s="70">
        <f>VLOOKUP(L310,'SKU Data'!A:D,4,0)</f>
        <v/>
      </c>
    </row>
    <row r="311" ht="21.75" customFormat="1" customHeight="1" s="71">
      <c r="A311" s="86" t="n"/>
      <c r="B311" s="83" t="n"/>
      <c r="C311" s="50" t="n"/>
      <c r="D311" s="50" t="n"/>
      <c r="E311" s="68">
        <f>VLOOKUP(L311,'SKU Data'!A:B,2,0)</f>
        <v/>
      </c>
      <c r="F311" s="50" t="n"/>
      <c r="G311" s="126">
        <f>VLOOKUP(L311,'SKU Data'!A:C,3,0)</f>
        <v/>
      </c>
      <c r="H311" s="126">
        <f>F311*G311</f>
        <v/>
      </c>
      <c r="I311" s="50" t="n"/>
      <c r="J311" s="68" t="n"/>
      <c r="K311" s="50" t="n"/>
      <c r="L311" s="65" t="n"/>
      <c r="M311" s="70">
        <f>VLOOKUP(L311,'SKU Data'!A:D,4,0)</f>
        <v/>
      </c>
    </row>
    <row r="312" ht="21.75" customFormat="1" customHeight="1" s="71">
      <c r="A312" s="86" t="n"/>
      <c r="B312" s="83" t="n"/>
      <c r="C312" s="50" t="n"/>
      <c r="D312" s="50" t="n"/>
      <c r="E312" s="68">
        <f>VLOOKUP(L312,'SKU Data'!A:B,2,0)</f>
        <v/>
      </c>
      <c r="F312" s="50" t="n"/>
      <c r="G312" s="126">
        <f>VLOOKUP(L312,'SKU Data'!A:C,3,0)</f>
        <v/>
      </c>
      <c r="H312" s="126">
        <f>F312*G312</f>
        <v/>
      </c>
      <c r="I312" s="50" t="n"/>
      <c r="J312" s="68" t="n"/>
      <c r="K312" s="50" t="n"/>
      <c r="L312" s="65" t="n"/>
      <c r="M312" s="70">
        <f>VLOOKUP(L312,'SKU Data'!A:D,4,0)</f>
        <v/>
      </c>
    </row>
    <row r="313" ht="21.75" customFormat="1" customHeight="1" s="71">
      <c r="A313" s="86" t="n"/>
      <c r="B313" s="83" t="n"/>
      <c r="C313" s="50" t="n"/>
      <c r="D313" s="50" t="n"/>
      <c r="E313" s="68">
        <f>VLOOKUP(L313,'SKU Data'!A:B,2,0)</f>
        <v/>
      </c>
      <c r="F313" s="50" t="n"/>
      <c r="G313" s="126">
        <f>VLOOKUP(L313,'SKU Data'!A:C,3,0)</f>
        <v/>
      </c>
      <c r="H313" s="126">
        <f>F313*G313</f>
        <v/>
      </c>
      <c r="I313" s="50" t="n"/>
      <c r="J313" s="68" t="n"/>
      <c r="K313" s="50" t="n"/>
      <c r="L313" s="65" t="n"/>
      <c r="M313" s="70">
        <f>VLOOKUP(L313,'SKU Data'!A:D,4,0)</f>
        <v/>
      </c>
    </row>
    <row r="314" ht="21.75" customFormat="1" customHeight="1" s="71">
      <c r="A314" s="86" t="n"/>
      <c r="B314" s="83" t="n"/>
      <c r="C314" s="50" t="n"/>
      <c r="D314" s="50" t="n"/>
      <c r="E314" s="68">
        <f>VLOOKUP(L314,'SKU Data'!A:B,2,0)</f>
        <v/>
      </c>
      <c r="F314" s="50" t="n"/>
      <c r="G314" s="126">
        <f>VLOOKUP(L314,'SKU Data'!A:C,3,0)</f>
        <v/>
      </c>
      <c r="H314" s="126">
        <f>F314*G314</f>
        <v/>
      </c>
      <c r="I314" s="50" t="n"/>
      <c r="J314" s="68" t="n"/>
      <c r="K314" s="50" t="n"/>
      <c r="L314" s="65" t="n"/>
      <c r="M314" s="70">
        <f>VLOOKUP(L314,'SKU Data'!A:D,4,0)</f>
        <v/>
      </c>
    </row>
    <row r="315" ht="21.75" customFormat="1" customHeight="1" s="71">
      <c r="A315" s="86" t="n"/>
      <c r="B315" s="83" t="n"/>
      <c r="C315" s="50" t="n"/>
      <c r="D315" s="50" t="n"/>
      <c r="E315" s="68">
        <f>VLOOKUP(L315,'SKU Data'!A:B,2,0)</f>
        <v/>
      </c>
      <c r="F315" s="50" t="n"/>
      <c r="G315" s="126">
        <f>VLOOKUP(L315,'SKU Data'!A:C,3,0)</f>
        <v/>
      </c>
      <c r="H315" s="126">
        <f>F315*G315</f>
        <v/>
      </c>
      <c r="I315" s="50" t="n"/>
      <c r="J315" s="68" t="n"/>
      <c r="K315" s="50" t="n"/>
      <c r="L315" s="65" t="n"/>
      <c r="M315" s="70">
        <f>VLOOKUP(L315,'SKU Data'!A:D,4,0)</f>
        <v/>
      </c>
    </row>
    <row r="316" ht="21.75" customFormat="1" customHeight="1" s="71">
      <c r="A316" s="86" t="n"/>
      <c r="B316" s="83" t="n"/>
      <c r="C316" s="50" t="n"/>
      <c r="D316" s="50" t="n"/>
      <c r="E316" s="68">
        <f>VLOOKUP(L316,'SKU Data'!A:B,2,0)</f>
        <v/>
      </c>
      <c r="F316" s="50" t="n"/>
      <c r="G316" s="126">
        <f>VLOOKUP(L316,'SKU Data'!A:C,3,0)</f>
        <v/>
      </c>
      <c r="H316" s="126">
        <f>F316*G316</f>
        <v/>
      </c>
      <c r="I316" s="50" t="n"/>
      <c r="J316" s="68" t="n"/>
      <c r="K316" s="50" t="n"/>
      <c r="L316" s="65" t="n"/>
      <c r="M316" s="70">
        <f>VLOOKUP(L316,'SKU Data'!A:D,4,0)</f>
        <v/>
      </c>
    </row>
    <row r="317" ht="21.75" customFormat="1" customHeight="1" s="71">
      <c r="A317" s="86" t="n"/>
      <c r="B317" s="83" t="n"/>
      <c r="C317" s="50" t="n"/>
      <c r="D317" s="50" t="n"/>
      <c r="E317" s="68">
        <f>VLOOKUP(L317,'SKU Data'!A:B,2,0)</f>
        <v/>
      </c>
      <c r="F317" s="50" t="n"/>
      <c r="G317" s="126">
        <f>VLOOKUP(L317,'SKU Data'!A:C,3,0)</f>
        <v/>
      </c>
      <c r="H317" s="126">
        <f>F317*G317</f>
        <v/>
      </c>
      <c r="I317" s="50" t="n"/>
      <c r="J317" s="68" t="n"/>
      <c r="K317" s="50" t="n"/>
      <c r="L317" s="65" t="n"/>
      <c r="M317" s="70">
        <f>VLOOKUP(L317,'SKU Data'!A:D,4,0)</f>
        <v/>
      </c>
    </row>
    <row r="318" ht="21.75" customFormat="1" customHeight="1" s="71">
      <c r="A318" s="86" t="n"/>
      <c r="B318" s="83" t="n"/>
      <c r="C318" s="50" t="n"/>
      <c r="D318" s="50" t="n"/>
      <c r="E318" s="68">
        <f>VLOOKUP(L318,'SKU Data'!A:B,2,0)</f>
        <v/>
      </c>
      <c r="F318" s="50" t="n"/>
      <c r="G318" s="126">
        <f>VLOOKUP(L318,'SKU Data'!A:C,3,0)</f>
        <v/>
      </c>
      <c r="H318" s="126">
        <f>F318*G318</f>
        <v/>
      </c>
      <c r="I318" s="50" t="n"/>
      <c r="J318" s="68" t="n"/>
      <c r="K318" s="50" t="n"/>
      <c r="L318" s="65" t="n"/>
      <c r="M318" s="70">
        <f>VLOOKUP(L318,'SKU Data'!A:D,4,0)</f>
        <v/>
      </c>
    </row>
    <row r="319" ht="21.75" customFormat="1" customHeight="1" s="71">
      <c r="A319" s="86" t="n"/>
      <c r="B319" s="83" t="n"/>
      <c r="C319" s="50" t="n"/>
      <c r="D319" s="50" t="n"/>
      <c r="E319" s="68">
        <f>VLOOKUP(L319,'SKU Data'!A:B,2,0)</f>
        <v/>
      </c>
      <c r="F319" s="50" t="n"/>
      <c r="G319" s="126">
        <f>VLOOKUP(L319,'SKU Data'!A:C,3,0)</f>
        <v/>
      </c>
      <c r="H319" s="126">
        <f>F319*G319</f>
        <v/>
      </c>
      <c r="I319" s="50" t="n"/>
      <c r="J319" s="68" t="n"/>
      <c r="K319" s="50" t="n"/>
      <c r="L319" s="65" t="n"/>
      <c r="M319" s="70">
        <f>VLOOKUP(L319,'SKU Data'!A:D,4,0)</f>
        <v/>
      </c>
    </row>
    <row r="320" ht="21.75" customFormat="1" customHeight="1" s="71">
      <c r="A320" s="86" t="n"/>
      <c r="B320" s="83" t="n"/>
      <c r="C320" s="50" t="n"/>
      <c r="D320" s="50" t="n"/>
      <c r="E320" s="68">
        <f>VLOOKUP(L320,'SKU Data'!A:B,2,0)</f>
        <v/>
      </c>
      <c r="F320" s="50" t="n"/>
      <c r="G320" s="126">
        <f>VLOOKUP(L320,'SKU Data'!A:C,3,0)</f>
        <v/>
      </c>
      <c r="H320" s="126">
        <f>F320*G320</f>
        <v/>
      </c>
      <c r="I320" s="50" t="n"/>
      <c r="J320" s="68" t="n"/>
      <c r="K320" s="50" t="n"/>
      <c r="L320" s="65" t="n"/>
      <c r="M320" s="70">
        <f>VLOOKUP(L320,'SKU Data'!A:D,4,0)</f>
        <v/>
      </c>
    </row>
    <row r="321" ht="21.75" customFormat="1" customHeight="1" s="71">
      <c r="A321" s="86" t="n"/>
      <c r="B321" s="83" t="n"/>
      <c r="C321" s="50" t="n"/>
      <c r="D321" s="50" t="n"/>
      <c r="E321" s="68">
        <f>VLOOKUP(L321,'SKU Data'!A:B,2,0)</f>
        <v/>
      </c>
      <c r="F321" s="50" t="n"/>
      <c r="G321" s="126">
        <f>VLOOKUP(L321,'SKU Data'!A:C,3,0)</f>
        <v/>
      </c>
      <c r="H321" s="126">
        <f>F321*G321</f>
        <v/>
      </c>
      <c r="I321" s="50" t="n"/>
      <c r="J321" s="68" t="n"/>
      <c r="K321" s="50" t="n"/>
      <c r="L321" s="65" t="n"/>
      <c r="M321" s="70">
        <f>VLOOKUP(L321,'SKU Data'!A:D,4,0)</f>
        <v/>
      </c>
    </row>
    <row r="322" ht="21.75" customFormat="1" customHeight="1" s="71">
      <c r="A322" s="86" t="n"/>
      <c r="B322" s="83" t="n"/>
      <c r="C322" s="50" t="n"/>
      <c r="D322" s="50" t="n"/>
      <c r="E322" s="68">
        <f>VLOOKUP(L322,'SKU Data'!A:B,2,0)</f>
        <v/>
      </c>
      <c r="F322" s="50" t="n"/>
      <c r="G322" s="126">
        <f>VLOOKUP(L322,'SKU Data'!A:C,3,0)</f>
        <v/>
      </c>
      <c r="H322" s="126">
        <f>F322*G322</f>
        <v/>
      </c>
      <c r="I322" s="50" t="n"/>
      <c r="J322" s="68" t="n"/>
      <c r="K322" s="50" t="n"/>
      <c r="L322" s="65" t="n"/>
      <c r="M322" s="70">
        <f>VLOOKUP(L322,'SKU Data'!A:D,4,0)</f>
        <v/>
      </c>
    </row>
    <row r="323" ht="21.75" customFormat="1" customHeight="1" s="71">
      <c r="A323" s="86" t="n"/>
      <c r="B323" s="83" t="n"/>
      <c r="C323" s="50" t="n"/>
      <c r="D323" s="50" t="n"/>
      <c r="E323" s="68">
        <f>VLOOKUP(L323,'SKU Data'!A:B,2,0)</f>
        <v/>
      </c>
      <c r="F323" s="50" t="n"/>
      <c r="G323" s="126">
        <f>VLOOKUP(L323,'SKU Data'!A:C,3,0)</f>
        <v/>
      </c>
      <c r="H323" s="126">
        <f>F323*G323</f>
        <v/>
      </c>
      <c r="I323" s="50" t="n"/>
      <c r="J323" s="68" t="n"/>
      <c r="K323" s="50" t="n"/>
      <c r="L323" s="65" t="n"/>
      <c r="M323" s="70">
        <f>VLOOKUP(L323,'SKU Data'!A:D,4,0)</f>
        <v/>
      </c>
    </row>
    <row r="324" ht="21.75" customFormat="1" customHeight="1" s="71">
      <c r="A324" s="86" t="n"/>
      <c r="B324" s="83" t="n"/>
      <c r="C324" s="50" t="n"/>
      <c r="D324" s="50" t="n"/>
      <c r="E324" s="68">
        <f>VLOOKUP(L324,'SKU Data'!A:B,2,0)</f>
        <v/>
      </c>
      <c r="F324" s="50" t="n"/>
      <c r="G324" s="126">
        <f>VLOOKUP(L324,'SKU Data'!A:C,3,0)</f>
        <v/>
      </c>
      <c r="H324" s="126">
        <f>F324*G324</f>
        <v/>
      </c>
      <c r="I324" s="50" t="n"/>
      <c r="J324" s="68" t="n"/>
      <c r="K324" s="50" t="n"/>
      <c r="L324" s="65" t="n"/>
      <c r="M324" s="70">
        <f>VLOOKUP(L324,'SKU Data'!A:D,4,0)</f>
        <v/>
      </c>
    </row>
    <row r="325" ht="21.75" customFormat="1" customHeight="1" s="71">
      <c r="A325" s="86" t="n"/>
      <c r="B325" s="83" t="n"/>
      <c r="C325" s="50" t="n"/>
      <c r="D325" s="50" t="n"/>
      <c r="E325" s="68">
        <f>VLOOKUP(L325,'SKU Data'!A:B,2,0)</f>
        <v/>
      </c>
      <c r="F325" s="50" t="n"/>
      <c r="G325" s="126">
        <f>VLOOKUP(L325,'SKU Data'!A:C,3,0)</f>
        <v/>
      </c>
      <c r="H325" s="126">
        <f>F325*G325</f>
        <v/>
      </c>
      <c r="I325" s="50" t="n"/>
      <c r="J325" s="68" t="n"/>
      <c r="K325" s="50" t="n"/>
      <c r="L325" s="65" t="n"/>
      <c r="M325" s="70">
        <f>VLOOKUP(L325,'SKU Data'!A:D,4,0)</f>
        <v/>
      </c>
    </row>
    <row r="326" ht="21.75" customFormat="1" customHeight="1" s="71">
      <c r="A326" s="86" t="n"/>
      <c r="B326" s="83" t="n"/>
      <c r="C326" s="50" t="n"/>
      <c r="D326" s="50" t="n"/>
      <c r="E326" s="68">
        <f>VLOOKUP(L326,'SKU Data'!A:B,2,0)</f>
        <v/>
      </c>
      <c r="F326" s="50" t="n"/>
      <c r="G326" s="126">
        <f>VLOOKUP(L326,'SKU Data'!A:C,3,0)</f>
        <v/>
      </c>
      <c r="H326" s="126">
        <f>F326*G326</f>
        <v/>
      </c>
      <c r="I326" s="50" t="n"/>
      <c r="J326" s="68" t="n"/>
      <c r="K326" s="50" t="n"/>
      <c r="L326" s="65" t="n"/>
      <c r="M326" s="70">
        <f>VLOOKUP(L326,'SKU Data'!A:D,4,0)</f>
        <v/>
      </c>
    </row>
    <row r="327" ht="21.75" customFormat="1" customHeight="1" s="71">
      <c r="A327" s="86" t="n"/>
      <c r="B327" s="83" t="n"/>
      <c r="C327" s="50" t="n"/>
      <c r="D327" s="50" t="n"/>
      <c r="E327" s="68">
        <f>VLOOKUP(L327,'SKU Data'!A:B,2,0)</f>
        <v/>
      </c>
      <c r="F327" s="50" t="n"/>
      <c r="G327" s="126">
        <f>VLOOKUP(L327,'SKU Data'!A:C,3,0)</f>
        <v/>
      </c>
      <c r="H327" s="126">
        <f>F327*G327</f>
        <v/>
      </c>
      <c r="I327" s="50" t="n"/>
      <c r="J327" s="68" t="n"/>
      <c r="K327" s="50" t="n"/>
      <c r="L327" s="65" t="n"/>
      <c r="M327" s="70">
        <f>VLOOKUP(L327,'SKU Data'!A:D,4,0)</f>
        <v/>
      </c>
    </row>
    <row r="328" ht="21.75" customFormat="1" customHeight="1" s="71">
      <c r="A328" s="86" t="n"/>
      <c r="B328" s="83" t="n"/>
      <c r="C328" s="50" t="n"/>
      <c r="D328" s="50" t="n"/>
      <c r="E328" s="68">
        <f>VLOOKUP(L328,'SKU Data'!A:B,2,0)</f>
        <v/>
      </c>
      <c r="F328" s="50" t="n"/>
      <c r="G328" s="126">
        <f>VLOOKUP(L328,'SKU Data'!A:C,3,0)</f>
        <v/>
      </c>
      <c r="H328" s="126">
        <f>F328*G328</f>
        <v/>
      </c>
      <c r="I328" s="50" t="n"/>
      <c r="J328" s="68" t="n"/>
      <c r="K328" s="50" t="n"/>
      <c r="L328" s="65" t="n"/>
      <c r="M328" s="70">
        <f>VLOOKUP(L328,'SKU Data'!A:D,4,0)</f>
        <v/>
      </c>
    </row>
    <row r="329" ht="21.75" customFormat="1" customHeight="1" s="71">
      <c r="A329" s="86" t="n"/>
      <c r="B329" s="83" t="n"/>
      <c r="C329" s="50" t="n"/>
      <c r="D329" s="50" t="n"/>
      <c r="E329" s="68">
        <f>VLOOKUP(L329,'SKU Data'!A:B,2,0)</f>
        <v/>
      </c>
      <c r="F329" s="50" t="n"/>
      <c r="G329" s="126">
        <f>VLOOKUP(L329,'SKU Data'!A:C,3,0)</f>
        <v/>
      </c>
      <c r="H329" s="126">
        <f>F329*G329</f>
        <v/>
      </c>
      <c r="I329" s="50" t="n"/>
      <c r="J329" s="68" t="n"/>
      <c r="K329" s="50" t="n"/>
      <c r="L329" s="65" t="n"/>
      <c r="M329" s="70">
        <f>VLOOKUP(L329,'SKU Data'!A:D,4,0)</f>
        <v/>
      </c>
    </row>
    <row r="330" ht="21.75" customFormat="1" customHeight="1" s="71">
      <c r="A330" s="86" t="n"/>
      <c r="B330" s="83" t="n"/>
      <c r="C330" s="50" t="n"/>
      <c r="D330" s="50" t="n"/>
      <c r="E330" s="68">
        <f>VLOOKUP(L330,'SKU Data'!A:B,2,0)</f>
        <v/>
      </c>
      <c r="F330" s="50" t="n"/>
      <c r="G330" s="126">
        <f>VLOOKUP(L330,'SKU Data'!A:C,3,0)</f>
        <v/>
      </c>
      <c r="H330" s="126">
        <f>F330*G330</f>
        <v/>
      </c>
      <c r="I330" s="50" t="n"/>
      <c r="J330" s="68" t="n"/>
      <c r="K330" s="50" t="n"/>
      <c r="L330" s="65" t="n"/>
      <c r="M330" s="70">
        <f>VLOOKUP(L330,'SKU Data'!A:D,4,0)</f>
        <v/>
      </c>
    </row>
    <row r="331" ht="21.75" customFormat="1" customHeight="1" s="71">
      <c r="A331" s="86" t="n"/>
      <c r="B331" s="83" t="n"/>
      <c r="C331" s="50" t="n"/>
      <c r="D331" s="50" t="n"/>
      <c r="E331" s="68">
        <f>VLOOKUP(L331,'SKU Data'!A:B,2,0)</f>
        <v/>
      </c>
      <c r="F331" s="50" t="n"/>
      <c r="G331" s="126">
        <f>VLOOKUP(L331,'SKU Data'!A:C,3,0)</f>
        <v/>
      </c>
      <c r="H331" s="126">
        <f>F331*G331</f>
        <v/>
      </c>
      <c r="I331" s="50" t="n"/>
      <c r="J331" s="68" t="n"/>
      <c r="K331" s="50" t="n"/>
      <c r="L331" s="65" t="n"/>
      <c r="M331" s="70">
        <f>VLOOKUP(L331,'SKU Data'!A:D,4,0)</f>
        <v/>
      </c>
    </row>
    <row r="332" ht="21.75" customFormat="1" customHeight="1" s="71">
      <c r="A332" s="86" t="n"/>
      <c r="B332" s="83" t="n"/>
      <c r="C332" s="50" t="n"/>
      <c r="D332" s="50" t="n"/>
      <c r="E332" s="68">
        <f>VLOOKUP(L332,'SKU Data'!A:B,2,0)</f>
        <v/>
      </c>
      <c r="F332" s="50" t="n"/>
      <c r="G332" s="126">
        <f>VLOOKUP(L332,'SKU Data'!A:C,3,0)</f>
        <v/>
      </c>
      <c r="H332" s="126">
        <f>F332*G332</f>
        <v/>
      </c>
      <c r="I332" s="50" t="n"/>
      <c r="J332" s="68" t="n"/>
      <c r="K332" s="50" t="n"/>
      <c r="L332" s="65" t="n"/>
      <c r="M332" s="70">
        <f>VLOOKUP(L332,'SKU Data'!A:D,4,0)</f>
        <v/>
      </c>
    </row>
    <row r="333" ht="21.75" customFormat="1" customHeight="1" s="71">
      <c r="A333" s="86" t="n"/>
      <c r="B333" s="83" t="n"/>
      <c r="C333" s="50" t="n"/>
      <c r="D333" s="50" t="n"/>
      <c r="E333" s="68">
        <f>VLOOKUP(L333,'SKU Data'!A:B,2,0)</f>
        <v/>
      </c>
      <c r="F333" s="50" t="n"/>
      <c r="G333" s="126">
        <f>VLOOKUP(L333,'SKU Data'!A:C,3,0)</f>
        <v/>
      </c>
      <c r="H333" s="126">
        <f>F333*G333</f>
        <v/>
      </c>
      <c r="I333" s="50" t="n"/>
      <c r="J333" s="68" t="n"/>
      <c r="K333" s="50" t="n"/>
      <c r="L333" s="65" t="n"/>
      <c r="M333" s="70">
        <f>VLOOKUP(L333,'SKU Data'!A:D,4,0)</f>
        <v/>
      </c>
    </row>
    <row r="334" ht="21.75" customFormat="1" customHeight="1" s="71">
      <c r="A334" s="86" t="n"/>
      <c r="B334" s="83" t="n"/>
      <c r="C334" s="50" t="n"/>
      <c r="D334" s="50" t="n"/>
      <c r="E334" s="68">
        <f>VLOOKUP(L334,'SKU Data'!A:B,2,0)</f>
        <v/>
      </c>
      <c r="F334" s="50" t="n"/>
      <c r="G334" s="126">
        <f>VLOOKUP(L334,'SKU Data'!A:C,3,0)</f>
        <v/>
      </c>
      <c r="H334" s="126">
        <f>F334*G334</f>
        <v/>
      </c>
      <c r="I334" s="50" t="n"/>
      <c r="J334" s="68" t="n"/>
      <c r="K334" s="50" t="n"/>
      <c r="L334" s="65" t="n"/>
      <c r="M334" s="70">
        <f>VLOOKUP(L334,'SKU Data'!A:D,4,0)</f>
        <v/>
      </c>
    </row>
    <row r="335" ht="21.75" customFormat="1" customHeight="1" s="71">
      <c r="A335" s="86" t="n"/>
      <c r="B335" s="83" t="n"/>
      <c r="C335" s="50" t="n"/>
      <c r="D335" s="50" t="n"/>
      <c r="E335" s="68">
        <f>VLOOKUP(L335,'SKU Data'!A:B,2,0)</f>
        <v/>
      </c>
      <c r="F335" s="50" t="n"/>
      <c r="G335" s="126">
        <f>VLOOKUP(L335,'SKU Data'!A:C,3,0)</f>
        <v/>
      </c>
      <c r="H335" s="126">
        <f>F335*G335</f>
        <v/>
      </c>
      <c r="I335" s="50" t="n"/>
      <c r="J335" s="68" t="n"/>
      <c r="K335" s="50" t="n"/>
      <c r="L335" s="65" t="n"/>
      <c r="M335" s="70">
        <f>VLOOKUP(L335,'SKU Data'!A:D,4,0)</f>
        <v/>
      </c>
    </row>
    <row r="336" ht="21.75" customFormat="1" customHeight="1" s="71">
      <c r="A336" s="86" t="n"/>
      <c r="B336" s="83" t="n"/>
      <c r="C336" s="50" t="n"/>
      <c r="D336" s="50" t="n"/>
      <c r="E336" s="68">
        <f>VLOOKUP(L336,'SKU Data'!A:B,2,0)</f>
        <v/>
      </c>
      <c r="F336" s="50" t="n"/>
      <c r="G336" s="126">
        <f>VLOOKUP(L336,'SKU Data'!A:C,3,0)</f>
        <v/>
      </c>
      <c r="H336" s="126">
        <f>F336*G336</f>
        <v/>
      </c>
      <c r="I336" s="50" t="n"/>
      <c r="J336" s="68" t="n"/>
      <c r="K336" s="50" t="n"/>
      <c r="L336" s="65" t="n"/>
      <c r="M336" s="70">
        <f>VLOOKUP(L336,'SKU Data'!A:D,4,0)</f>
        <v/>
      </c>
    </row>
    <row r="337" ht="21.75" customFormat="1" customHeight="1" s="71">
      <c r="A337" s="86" t="n"/>
      <c r="B337" s="83" t="n"/>
      <c r="C337" s="50" t="n"/>
      <c r="D337" s="50" t="n"/>
      <c r="E337" s="68">
        <f>VLOOKUP(L337,'SKU Data'!A:B,2,0)</f>
        <v/>
      </c>
      <c r="F337" s="50" t="n"/>
      <c r="G337" s="126">
        <f>VLOOKUP(L337,'SKU Data'!A:C,3,0)</f>
        <v/>
      </c>
      <c r="H337" s="126">
        <f>F337*G337</f>
        <v/>
      </c>
      <c r="I337" s="50" t="n"/>
      <c r="J337" s="68" t="n"/>
      <c r="K337" s="50" t="n"/>
      <c r="L337" s="65" t="n"/>
      <c r="M337" s="70">
        <f>VLOOKUP(L337,'SKU Data'!A:D,4,0)</f>
        <v/>
      </c>
    </row>
    <row r="338" ht="21.75" customFormat="1" customHeight="1" s="71">
      <c r="A338" s="86" t="n"/>
      <c r="B338" s="83" t="n"/>
      <c r="C338" s="50" t="n"/>
      <c r="D338" s="50" t="n"/>
      <c r="E338" s="68">
        <f>VLOOKUP(L338,'SKU Data'!A:B,2,0)</f>
        <v/>
      </c>
      <c r="F338" s="50" t="n"/>
      <c r="G338" s="126">
        <f>VLOOKUP(L338,'SKU Data'!A:C,3,0)</f>
        <v/>
      </c>
      <c r="H338" s="126">
        <f>F338*G338</f>
        <v/>
      </c>
      <c r="I338" s="50" t="n"/>
      <c r="J338" s="68" t="n"/>
      <c r="K338" s="50" t="n"/>
      <c r="L338" s="65" t="n"/>
      <c r="M338" s="70">
        <f>VLOOKUP(L338,'SKU Data'!A:D,4,0)</f>
        <v/>
      </c>
    </row>
    <row r="339" ht="21.75" customFormat="1" customHeight="1" s="71">
      <c r="A339" s="86" t="n"/>
      <c r="B339" s="83" t="n"/>
      <c r="C339" s="50" t="n"/>
      <c r="D339" s="50" t="n"/>
      <c r="E339" s="68">
        <f>VLOOKUP(L339,'SKU Data'!A:B,2,0)</f>
        <v/>
      </c>
      <c r="F339" s="50" t="n"/>
      <c r="G339" s="126">
        <f>VLOOKUP(L339,'SKU Data'!A:C,3,0)</f>
        <v/>
      </c>
      <c r="H339" s="126">
        <f>F339*G339</f>
        <v/>
      </c>
      <c r="I339" s="50" t="n"/>
      <c r="J339" s="68" t="n"/>
      <c r="K339" s="50" t="n"/>
      <c r="L339" s="65" t="n"/>
      <c r="M339" s="70">
        <f>VLOOKUP(L339,'SKU Data'!A:D,4,0)</f>
        <v/>
      </c>
    </row>
    <row r="340" ht="21.75" customFormat="1" customHeight="1" s="71">
      <c r="A340" s="86" t="n"/>
      <c r="B340" s="83" t="n"/>
      <c r="C340" s="50" t="n"/>
      <c r="D340" s="50" t="n"/>
      <c r="E340" s="68">
        <f>VLOOKUP(L340,'SKU Data'!A:B,2,0)</f>
        <v/>
      </c>
      <c r="F340" s="50" t="n"/>
      <c r="G340" s="126">
        <f>VLOOKUP(L340,'SKU Data'!A:C,3,0)</f>
        <v/>
      </c>
      <c r="H340" s="126">
        <f>F340*G340</f>
        <v/>
      </c>
      <c r="I340" s="50" t="n"/>
      <c r="J340" s="68" t="n"/>
      <c r="K340" s="50" t="n"/>
      <c r="L340" s="65" t="n"/>
      <c r="M340" s="70">
        <f>VLOOKUP(L340,'SKU Data'!A:D,4,0)</f>
        <v/>
      </c>
    </row>
    <row r="341" ht="21.75" customFormat="1" customHeight="1" s="71">
      <c r="A341" s="86" t="n"/>
      <c r="B341" s="83" t="n"/>
      <c r="C341" s="50" t="n"/>
      <c r="D341" s="50" t="n"/>
      <c r="E341" s="68">
        <f>VLOOKUP(L341,'SKU Data'!A:B,2,0)</f>
        <v/>
      </c>
      <c r="F341" s="50" t="n"/>
      <c r="G341" s="126">
        <f>VLOOKUP(L341,'SKU Data'!A:C,3,0)</f>
        <v/>
      </c>
      <c r="H341" s="126">
        <f>F341*G341</f>
        <v/>
      </c>
      <c r="I341" s="50" t="n"/>
      <c r="J341" s="68" t="n"/>
      <c r="K341" s="50" t="n"/>
      <c r="L341" s="65" t="n"/>
      <c r="M341" s="70">
        <f>VLOOKUP(L341,'SKU Data'!A:D,4,0)</f>
        <v/>
      </c>
    </row>
    <row r="342" ht="21.75" customFormat="1" customHeight="1" s="71">
      <c r="A342" s="86" t="n"/>
      <c r="B342" s="83" t="n"/>
      <c r="C342" s="50" t="n"/>
      <c r="D342" s="50" t="n"/>
      <c r="E342" s="68">
        <f>VLOOKUP(L342,'SKU Data'!A:B,2,0)</f>
        <v/>
      </c>
      <c r="F342" s="50" t="n"/>
      <c r="G342" s="126">
        <f>VLOOKUP(L342,'SKU Data'!A:C,3,0)</f>
        <v/>
      </c>
      <c r="H342" s="126">
        <f>F342*G342</f>
        <v/>
      </c>
      <c r="I342" s="50" t="n"/>
      <c r="J342" s="68" t="n"/>
      <c r="K342" s="50" t="n"/>
      <c r="L342" s="65" t="n"/>
      <c r="M342" s="70">
        <f>VLOOKUP(L342,'SKU Data'!A:D,4,0)</f>
        <v/>
      </c>
    </row>
    <row r="343" ht="21.75" customFormat="1" customHeight="1" s="71">
      <c r="A343" s="86" t="n"/>
      <c r="B343" s="83" t="n"/>
      <c r="C343" s="50" t="n"/>
      <c r="D343" s="50" t="n"/>
      <c r="E343" s="68">
        <f>VLOOKUP(L343,'SKU Data'!A:B,2,0)</f>
        <v/>
      </c>
      <c r="F343" s="50" t="n"/>
      <c r="G343" s="126">
        <f>VLOOKUP(L343,'SKU Data'!A:C,3,0)</f>
        <v/>
      </c>
      <c r="H343" s="126">
        <f>F343*G343</f>
        <v/>
      </c>
      <c r="I343" s="50" t="n"/>
      <c r="J343" s="68" t="n"/>
      <c r="K343" s="50" t="n"/>
      <c r="L343" s="65" t="n"/>
      <c r="M343" s="70">
        <f>VLOOKUP(L343,'SKU Data'!A:D,4,0)</f>
        <v/>
      </c>
    </row>
    <row r="344" ht="21.75" customFormat="1" customHeight="1" s="71">
      <c r="A344" s="86" t="n"/>
      <c r="B344" s="83" t="n"/>
      <c r="C344" s="50" t="n"/>
      <c r="D344" s="50" t="n"/>
      <c r="E344" s="68">
        <f>VLOOKUP(L344,'SKU Data'!A:B,2,0)</f>
        <v/>
      </c>
      <c r="F344" s="50" t="n"/>
      <c r="G344" s="126">
        <f>VLOOKUP(L344,'SKU Data'!A:C,3,0)</f>
        <v/>
      </c>
      <c r="H344" s="126">
        <f>F344*G344</f>
        <v/>
      </c>
      <c r="I344" s="50" t="n"/>
      <c r="J344" s="68" t="n"/>
      <c r="K344" s="50" t="n"/>
      <c r="L344" s="65" t="n"/>
      <c r="M344" s="70">
        <f>VLOOKUP(L344,'SKU Data'!A:D,4,0)</f>
        <v/>
      </c>
    </row>
    <row r="345" ht="21.75" customFormat="1" customHeight="1" s="71">
      <c r="A345" s="86" t="n"/>
      <c r="B345" s="83" t="n"/>
      <c r="C345" s="50" t="n"/>
      <c r="D345" s="50" t="n"/>
      <c r="E345" s="68">
        <f>VLOOKUP(L345,'SKU Data'!A:B,2,0)</f>
        <v/>
      </c>
      <c r="F345" s="50" t="n"/>
      <c r="G345" s="126">
        <f>VLOOKUP(L345,'SKU Data'!A:C,3,0)</f>
        <v/>
      </c>
      <c r="H345" s="126">
        <f>F345*G345</f>
        <v/>
      </c>
      <c r="I345" s="50" t="n"/>
      <c r="J345" s="68" t="n"/>
      <c r="K345" s="50" t="n"/>
      <c r="L345" s="65" t="n"/>
      <c r="M345" s="70">
        <f>VLOOKUP(L345,'SKU Data'!A:D,4,0)</f>
        <v/>
      </c>
    </row>
    <row r="346" ht="21.75" customFormat="1" customHeight="1" s="71">
      <c r="A346" s="86" t="n"/>
      <c r="B346" s="83" t="n"/>
      <c r="C346" s="50" t="n"/>
      <c r="D346" s="50" t="n"/>
      <c r="E346" s="68">
        <f>VLOOKUP(L346,'SKU Data'!A:B,2,0)</f>
        <v/>
      </c>
      <c r="F346" s="50" t="n"/>
      <c r="G346" s="126">
        <f>VLOOKUP(L346,'SKU Data'!A:C,3,0)</f>
        <v/>
      </c>
      <c r="H346" s="126">
        <f>F346*G346</f>
        <v/>
      </c>
      <c r="I346" s="50" t="n"/>
      <c r="J346" s="68" t="n"/>
      <c r="K346" s="50" t="n"/>
      <c r="L346" s="65" t="n"/>
      <c r="M346" s="70">
        <f>VLOOKUP(L346,'SKU Data'!A:D,4,0)</f>
        <v/>
      </c>
    </row>
    <row r="347" ht="21.75" customFormat="1" customHeight="1" s="71">
      <c r="A347" s="86" t="n"/>
      <c r="B347" s="83" t="n"/>
      <c r="C347" s="50" t="n"/>
      <c r="D347" s="50" t="n"/>
      <c r="E347" s="68">
        <f>VLOOKUP(L347,'SKU Data'!A:B,2,0)</f>
        <v/>
      </c>
      <c r="F347" s="50" t="n"/>
      <c r="G347" s="126">
        <f>VLOOKUP(L347,'SKU Data'!A:C,3,0)</f>
        <v/>
      </c>
      <c r="H347" s="126">
        <f>F347*G347</f>
        <v/>
      </c>
      <c r="I347" s="50" t="n"/>
      <c r="J347" s="68" t="n"/>
      <c r="K347" s="50" t="n"/>
      <c r="L347" s="65" t="n"/>
      <c r="M347" s="70">
        <f>VLOOKUP(L347,'SKU Data'!A:D,4,0)</f>
        <v/>
      </c>
    </row>
    <row r="348" ht="21.75" customFormat="1" customHeight="1" s="71">
      <c r="A348" s="86" t="n"/>
      <c r="B348" s="83" t="n"/>
      <c r="C348" s="50" t="n"/>
      <c r="D348" s="50" t="n"/>
      <c r="E348" s="68">
        <f>VLOOKUP(L348,'SKU Data'!A:B,2,0)</f>
        <v/>
      </c>
      <c r="F348" s="50" t="n"/>
      <c r="G348" s="126">
        <f>VLOOKUP(L348,'SKU Data'!A:C,3,0)</f>
        <v/>
      </c>
      <c r="H348" s="126">
        <f>F348*G348</f>
        <v/>
      </c>
      <c r="I348" s="50" t="n"/>
      <c r="J348" s="68" t="n"/>
      <c r="K348" s="50" t="n"/>
      <c r="L348" s="65" t="n"/>
      <c r="M348" s="70">
        <f>VLOOKUP(L348,'SKU Data'!A:D,4,0)</f>
        <v/>
      </c>
    </row>
    <row r="349" ht="21.75" customFormat="1" customHeight="1" s="71">
      <c r="A349" s="86" t="n"/>
      <c r="B349" s="83" t="n"/>
      <c r="C349" s="50" t="n"/>
      <c r="D349" s="50" t="n"/>
      <c r="E349" s="68">
        <f>VLOOKUP(L349,'SKU Data'!A:B,2,0)</f>
        <v/>
      </c>
      <c r="F349" s="50" t="n"/>
      <c r="G349" s="126">
        <f>VLOOKUP(L349,'SKU Data'!A:C,3,0)</f>
        <v/>
      </c>
      <c r="H349" s="126">
        <f>F349*G349</f>
        <v/>
      </c>
      <c r="I349" s="50" t="n"/>
      <c r="J349" s="68" t="n"/>
      <c r="K349" s="50" t="n"/>
      <c r="L349" s="65" t="n"/>
      <c r="M349" s="70">
        <f>VLOOKUP(L349,'SKU Data'!A:D,4,0)</f>
        <v/>
      </c>
    </row>
    <row r="350" ht="21.75" customFormat="1" customHeight="1" s="71">
      <c r="A350" s="86" t="n"/>
      <c r="B350" s="83" t="n"/>
      <c r="C350" s="50" t="n"/>
      <c r="D350" s="50" t="n"/>
      <c r="E350" s="68">
        <f>VLOOKUP(L350,'SKU Data'!A:B,2,0)</f>
        <v/>
      </c>
      <c r="F350" s="50" t="n"/>
      <c r="G350" s="126">
        <f>VLOOKUP(L350,'SKU Data'!A:C,3,0)</f>
        <v/>
      </c>
      <c r="H350" s="126">
        <f>F350*G350</f>
        <v/>
      </c>
      <c r="I350" s="50" t="n"/>
      <c r="J350" s="68" t="n"/>
      <c r="K350" s="50" t="n"/>
      <c r="L350" s="65" t="n"/>
      <c r="M350" s="70">
        <f>VLOOKUP(L350,'SKU Data'!A:D,4,0)</f>
        <v/>
      </c>
    </row>
    <row r="351" ht="21.75" customFormat="1" customHeight="1" s="71">
      <c r="A351" s="86" t="n"/>
      <c r="B351" s="83" t="n"/>
      <c r="C351" s="50" t="n"/>
      <c r="D351" s="50" t="n"/>
      <c r="E351" s="68">
        <f>VLOOKUP(L351,'SKU Data'!A:B,2,0)</f>
        <v/>
      </c>
      <c r="F351" s="50" t="n"/>
      <c r="G351" s="126">
        <f>VLOOKUP(L351,'SKU Data'!A:C,3,0)</f>
        <v/>
      </c>
      <c r="H351" s="126">
        <f>F351*G351</f>
        <v/>
      </c>
      <c r="I351" s="50" t="n"/>
      <c r="J351" s="68" t="n"/>
      <c r="K351" s="50" t="n"/>
      <c r="L351" s="65" t="n"/>
      <c r="M351" s="70">
        <f>VLOOKUP(L351,'SKU Data'!A:D,4,0)</f>
        <v/>
      </c>
    </row>
    <row r="352" ht="21.75" customFormat="1" customHeight="1" s="71">
      <c r="A352" s="86" t="n"/>
      <c r="B352" s="83" t="n"/>
      <c r="C352" s="50" t="n"/>
      <c r="D352" s="50" t="n"/>
      <c r="E352" s="68">
        <f>VLOOKUP(L352,'SKU Data'!A:B,2,0)</f>
        <v/>
      </c>
      <c r="F352" s="50" t="n"/>
      <c r="G352" s="126">
        <f>VLOOKUP(L352,'SKU Data'!A:C,3,0)</f>
        <v/>
      </c>
      <c r="H352" s="126">
        <f>F352*G352</f>
        <v/>
      </c>
      <c r="I352" s="50" t="n"/>
      <c r="J352" s="68" t="n"/>
      <c r="K352" s="50" t="n"/>
      <c r="L352" s="65" t="n"/>
      <c r="M352" s="70">
        <f>VLOOKUP(L352,'SKU Data'!A:D,4,0)</f>
        <v/>
      </c>
    </row>
    <row r="353" ht="21.75" customFormat="1" customHeight="1" s="71">
      <c r="A353" s="86" t="n"/>
      <c r="B353" s="83" t="n"/>
      <c r="C353" s="50" t="n"/>
      <c r="D353" s="50" t="n"/>
      <c r="E353" s="68">
        <f>VLOOKUP(L353,'SKU Data'!A:B,2,0)</f>
        <v/>
      </c>
      <c r="F353" s="50" t="n"/>
      <c r="G353" s="126">
        <f>VLOOKUP(L353,'SKU Data'!A:C,3,0)</f>
        <v/>
      </c>
      <c r="H353" s="126">
        <f>F353*G353</f>
        <v/>
      </c>
      <c r="I353" s="50" t="n"/>
      <c r="J353" s="68" t="n"/>
      <c r="K353" s="50" t="n"/>
      <c r="L353" s="65" t="n"/>
      <c r="M353" s="70">
        <f>VLOOKUP(L353,'SKU Data'!A:D,4,0)</f>
        <v/>
      </c>
    </row>
    <row r="354" ht="21.75" customFormat="1" customHeight="1" s="71">
      <c r="A354" s="86" t="n"/>
      <c r="B354" s="83" t="n"/>
      <c r="C354" s="50" t="n"/>
      <c r="D354" s="50" t="n"/>
      <c r="E354" s="68">
        <f>VLOOKUP(L354,'SKU Data'!A:B,2,0)</f>
        <v/>
      </c>
      <c r="F354" s="50" t="n"/>
      <c r="G354" s="126">
        <f>VLOOKUP(L354,'SKU Data'!A:C,3,0)</f>
        <v/>
      </c>
      <c r="H354" s="126">
        <f>F354*G354</f>
        <v/>
      </c>
      <c r="I354" s="50" t="n"/>
      <c r="J354" s="68" t="n"/>
      <c r="K354" s="50" t="n"/>
      <c r="L354" s="65" t="n"/>
      <c r="M354" s="70">
        <f>VLOOKUP(L354,'SKU Data'!A:D,4,0)</f>
        <v/>
      </c>
    </row>
    <row r="355" ht="21.75" customFormat="1" customHeight="1" s="71">
      <c r="A355" s="86" t="n"/>
      <c r="B355" s="83" t="n"/>
      <c r="C355" s="50" t="n"/>
      <c r="D355" s="50" t="n"/>
      <c r="E355" s="68">
        <f>VLOOKUP(L355,'SKU Data'!A:B,2,0)</f>
        <v/>
      </c>
      <c r="F355" s="50" t="n"/>
      <c r="G355" s="126">
        <f>VLOOKUP(L355,'SKU Data'!A:C,3,0)</f>
        <v/>
      </c>
      <c r="H355" s="126">
        <f>F355*G355</f>
        <v/>
      </c>
      <c r="I355" s="50" t="n"/>
      <c r="J355" s="68" t="n"/>
      <c r="K355" s="50" t="n"/>
      <c r="L355" s="65" t="n"/>
      <c r="M355" s="70">
        <f>VLOOKUP(L355,'SKU Data'!A:D,4,0)</f>
        <v/>
      </c>
    </row>
    <row r="356" ht="21.75" customFormat="1" customHeight="1" s="71">
      <c r="A356" s="86" t="n"/>
      <c r="B356" s="83" t="n"/>
      <c r="C356" s="50" t="n"/>
      <c r="D356" s="50" t="n"/>
      <c r="E356" s="68">
        <f>VLOOKUP(L356,'SKU Data'!A:B,2,0)</f>
        <v/>
      </c>
      <c r="F356" s="50" t="n"/>
      <c r="G356" s="126">
        <f>VLOOKUP(L356,'SKU Data'!A:C,3,0)</f>
        <v/>
      </c>
      <c r="H356" s="126">
        <f>F356*G356</f>
        <v/>
      </c>
      <c r="I356" s="50" t="n"/>
      <c r="J356" s="68" t="n"/>
      <c r="K356" s="50" t="n"/>
      <c r="L356" s="65" t="n"/>
      <c r="M356" s="70">
        <f>VLOOKUP(L356,'SKU Data'!A:D,4,0)</f>
        <v/>
      </c>
    </row>
    <row r="357" ht="21.75" customFormat="1" customHeight="1" s="71">
      <c r="A357" s="86" t="n"/>
      <c r="B357" s="83" t="n"/>
      <c r="C357" s="50" t="n"/>
      <c r="D357" s="50" t="n"/>
      <c r="E357" s="68">
        <f>VLOOKUP(L357,'SKU Data'!A:B,2,0)</f>
        <v/>
      </c>
      <c r="F357" s="50" t="n"/>
      <c r="G357" s="126">
        <f>VLOOKUP(L357,'SKU Data'!A:C,3,0)</f>
        <v/>
      </c>
      <c r="H357" s="126">
        <f>F357*G357</f>
        <v/>
      </c>
      <c r="I357" s="50" t="n"/>
      <c r="J357" s="68" t="n"/>
      <c r="K357" s="50" t="n"/>
      <c r="L357" s="65" t="n"/>
      <c r="M357" s="70">
        <f>VLOOKUP(L357,'SKU Data'!A:D,4,0)</f>
        <v/>
      </c>
    </row>
    <row r="358" ht="21.75" customFormat="1" customHeight="1" s="71">
      <c r="A358" s="86" t="n"/>
      <c r="B358" s="83" t="n"/>
      <c r="C358" s="50" t="n"/>
      <c r="D358" s="50" t="n"/>
      <c r="E358" s="68">
        <f>VLOOKUP(L358,'SKU Data'!A:B,2,0)</f>
        <v/>
      </c>
      <c r="F358" s="50" t="n"/>
      <c r="G358" s="126">
        <f>VLOOKUP(L358,'SKU Data'!A:C,3,0)</f>
        <v/>
      </c>
      <c r="H358" s="126">
        <f>F358*G358</f>
        <v/>
      </c>
      <c r="I358" s="50" t="n"/>
      <c r="J358" s="68" t="n"/>
      <c r="K358" s="50" t="n"/>
      <c r="L358" s="65" t="n"/>
      <c r="M358" s="70">
        <f>VLOOKUP(L358,'SKU Data'!A:D,4,0)</f>
        <v/>
      </c>
    </row>
    <row r="359" ht="21.75" customFormat="1" customHeight="1" s="71">
      <c r="A359" s="86" t="n"/>
      <c r="B359" s="83" t="n"/>
      <c r="C359" s="50" t="n"/>
      <c r="D359" s="50" t="n"/>
      <c r="E359" s="68">
        <f>VLOOKUP(L359,'SKU Data'!A:B,2,0)</f>
        <v/>
      </c>
      <c r="F359" s="50" t="n"/>
      <c r="G359" s="126">
        <f>VLOOKUP(L359,'SKU Data'!A:C,3,0)</f>
        <v/>
      </c>
      <c r="H359" s="126">
        <f>F359*G359</f>
        <v/>
      </c>
      <c r="I359" s="50" t="n"/>
      <c r="J359" s="68" t="n"/>
      <c r="K359" s="50" t="n"/>
      <c r="L359" s="65" t="n"/>
      <c r="M359" s="70">
        <f>VLOOKUP(L359,'SKU Data'!A:D,4,0)</f>
        <v/>
      </c>
    </row>
    <row r="360" ht="21.75" customFormat="1" customHeight="1" s="71">
      <c r="A360" s="86" t="n"/>
      <c r="B360" s="83" t="n"/>
      <c r="C360" s="50" t="n"/>
      <c r="D360" s="50" t="n"/>
      <c r="E360" s="68">
        <f>VLOOKUP(L360,'SKU Data'!A:B,2,0)</f>
        <v/>
      </c>
      <c r="F360" s="50" t="n"/>
      <c r="G360" s="126">
        <f>VLOOKUP(L360,'SKU Data'!A:C,3,0)</f>
        <v/>
      </c>
      <c r="H360" s="126">
        <f>F360*G360</f>
        <v/>
      </c>
      <c r="I360" s="50" t="n"/>
      <c r="J360" s="68" t="n"/>
      <c r="K360" s="50" t="n"/>
      <c r="L360" s="65" t="n"/>
      <c r="M360" s="70">
        <f>VLOOKUP(L360,'SKU Data'!A:D,4,0)</f>
        <v/>
      </c>
    </row>
    <row r="361" ht="21.75" customFormat="1" customHeight="1" s="71">
      <c r="A361" s="86" t="n"/>
      <c r="B361" s="83" t="n"/>
      <c r="C361" s="50" t="n"/>
      <c r="D361" s="50" t="n"/>
      <c r="E361" s="68">
        <f>VLOOKUP(L361,'SKU Data'!A:B,2,0)</f>
        <v/>
      </c>
      <c r="F361" s="50" t="n"/>
      <c r="G361" s="126">
        <f>VLOOKUP(L361,'SKU Data'!A:C,3,0)</f>
        <v/>
      </c>
      <c r="H361" s="126">
        <f>F361*G361</f>
        <v/>
      </c>
      <c r="I361" s="50" t="n"/>
      <c r="J361" s="68" t="n"/>
      <c r="K361" s="50" t="n"/>
      <c r="L361" s="65" t="n"/>
      <c r="M361" s="70">
        <f>VLOOKUP(L361,'SKU Data'!A:D,4,0)</f>
        <v/>
      </c>
    </row>
    <row r="362" ht="21.75" customFormat="1" customHeight="1" s="71">
      <c r="A362" s="86" t="n"/>
      <c r="B362" s="83" t="n"/>
      <c r="C362" s="50" t="n"/>
      <c r="D362" s="50" t="n"/>
      <c r="E362" s="68">
        <f>VLOOKUP(L362,'SKU Data'!A:B,2,0)</f>
        <v/>
      </c>
      <c r="F362" s="50" t="n"/>
      <c r="G362" s="126">
        <f>VLOOKUP(L362,'SKU Data'!A:C,3,0)</f>
        <v/>
      </c>
      <c r="H362" s="126">
        <f>F362*G362</f>
        <v/>
      </c>
      <c r="I362" s="50" t="n"/>
      <c r="J362" s="68" t="n"/>
      <c r="K362" s="50" t="n"/>
      <c r="L362" s="65" t="n"/>
      <c r="M362" s="70">
        <f>VLOOKUP(L362,'SKU Data'!A:D,4,0)</f>
        <v/>
      </c>
    </row>
    <row r="363" ht="21.75" customFormat="1" customHeight="1" s="71">
      <c r="A363" s="86" t="n"/>
      <c r="B363" s="83" t="n"/>
      <c r="C363" s="50" t="n"/>
      <c r="D363" s="50" t="n"/>
      <c r="E363" s="68">
        <f>VLOOKUP(L363,'SKU Data'!A:B,2,0)</f>
        <v/>
      </c>
      <c r="F363" s="50" t="n"/>
      <c r="G363" s="126">
        <f>VLOOKUP(L363,'SKU Data'!A:C,3,0)</f>
        <v/>
      </c>
      <c r="H363" s="126">
        <f>F363*G363</f>
        <v/>
      </c>
      <c r="I363" s="50" t="n"/>
      <c r="J363" s="68" t="n"/>
      <c r="K363" s="50" t="n"/>
      <c r="L363" s="65" t="n"/>
      <c r="M363" s="70">
        <f>VLOOKUP(L363,'SKU Data'!A:D,4,0)</f>
        <v/>
      </c>
    </row>
    <row r="364" ht="21.75" customFormat="1" customHeight="1" s="71">
      <c r="A364" s="86" t="n"/>
      <c r="B364" s="83" t="n"/>
      <c r="C364" s="50" t="n"/>
      <c r="D364" s="50" t="n"/>
      <c r="E364" s="68">
        <f>VLOOKUP(L364,'SKU Data'!A:B,2,0)</f>
        <v/>
      </c>
      <c r="F364" s="50" t="n"/>
      <c r="G364" s="126">
        <f>VLOOKUP(L364,'SKU Data'!A:C,3,0)</f>
        <v/>
      </c>
      <c r="H364" s="126">
        <f>F364*G364</f>
        <v/>
      </c>
      <c r="I364" s="50" t="n"/>
      <c r="J364" s="68" t="n"/>
      <c r="K364" s="50" t="n"/>
      <c r="L364" s="65" t="n"/>
      <c r="M364" s="70">
        <f>VLOOKUP(L364,'SKU Data'!A:D,4,0)</f>
        <v/>
      </c>
    </row>
    <row r="365" ht="21.75" customFormat="1" customHeight="1" s="71">
      <c r="A365" s="86" t="n"/>
      <c r="B365" s="83" t="n"/>
      <c r="C365" s="50" t="n"/>
      <c r="D365" s="50" t="n"/>
      <c r="E365" s="68">
        <f>VLOOKUP(L365,'SKU Data'!A:B,2,0)</f>
        <v/>
      </c>
      <c r="F365" s="50" t="n"/>
      <c r="G365" s="126">
        <f>VLOOKUP(L365,'SKU Data'!A:C,3,0)</f>
        <v/>
      </c>
      <c r="H365" s="126">
        <f>F365*G365</f>
        <v/>
      </c>
      <c r="I365" s="50" t="n"/>
      <c r="J365" s="68" t="n"/>
      <c r="K365" s="50" t="n"/>
      <c r="L365" s="65" t="n"/>
      <c r="M365" s="70">
        <f>VLOOKUP(L365,'SKU Data'!A:D,4,0)</f>
        <v/>
      </c>
    </row>
    <row r="366" ht="21.75" customFormat="1" customHeight="1" s="71">
      <c r="A366" s="86" t="n"/>
      <c r="B366" s="83" t="n"/>
      <c r="C366" s="50" t="n"/>
      <c r="D366" s="50" t="n"/>
      <c r="E366" s="68">
        <f>VLOOKUP(L366,'SKU Data'!A:B,2,0)</f>
        <v/>
      </c>
      <c r="F366" s="50" t="n"/>
      <c r="G366" s="126">
        <f>VLOOKUP(L366,'SKU Data'!A:C,3,0)</f>
        <v/>
      </c>
      <c r="H366" s="126">
        <f>F366*G366</f>
        <v/>
      </c>
      <c r="I366" s="50" t="n"/>
      <c r="J366" s="68" t="n"/>
      <c r="K366" s="50" t="n"/>
      <c r="L366" s="65" t="n"/>
      <c r="M366" s="70">
        <f>VLOOKUP(L366,'SKU Data'!A:D,4,0)</f>
        <v/>
      </c>
    </row>
    <row r="367" ht="21.75" customFormat="1" customHeight="1" s="71">
      <c r="A367" s="86" t="n"/>
      <c r="B367" s="83" t="n"/>
      <c r="C367" s="50" t="n"/>
      <c r="D367" s="50" t="n"/>
      <c r="E367" s="68">
        <f>VLOOKUP(L367,'SKU Data'!A:B,2,0)</f>
        <v/>
      </c>
      <c r="F367" s="50" t="n"/>
      <c r="G367" s="126">
        <f>VLOOKUP(L367,'SKU Data'!A:C,3,0)</f>
        <v/>
      </c>
      <c r="H367" s="126">
        <f>F367*G367</f>
        <v/>
      </c>
      <c r="I367" s="50" t="n"/>
      <c r="J367" s="68" t="n"/>
      <c r="K367" s="50" t="n"/>
      <c r="L367" s="65" t="n"/>
      <c r="M367" s="70">
        <f>VLOOKUP(L367,'SKU Data'!A:D,4,0)</f>
        <v/>
      </c>
    </row>
    <row r="368" ht="21.75" customFormat="1" customHeight="1" s="71">
      <c r="A368" s="86" t="n"/>
      <c r="B368" s="83" t="n"/>
      <c r="C368" s="50" t="n"/>
      <c r="D368" s="50" t="n"/>
      <c r="E368" s="68">
        <f>VLOOKUP(L368,'SKU Data'!A:B,2,0)</f>
        <v/>
      </c>
      <c r="F368" s="50" t="n"/>
      <c r="G368" s="126">
        <f>VLOOKUP(L368,'SKU Data'!A:C,3,0)</f>
        <v/>
      </c>
      <c r="H368" s="126">
        <f>F368*G368</f>
        <v/>
      </c>
      <c r="I368" s="50" t="n"/>
      <c r="J368" s="68" t="n"/>
      <c r="K368" s="50" t="n"/>
      <c r="L368" s="65" t="n"/>
      <c r="M368" s="70">
        <f>VLOOKUP(L368,'SKU Data'!A:D,4,0)</f>
        <v/>
      </c>
    </row>
    <row r="369" ht="21.75" customFormat="1" customHeight="1" s="71">
      <c r="A369" s="86" t="n"/>
      <c r="B369" s="83" t="n"/>
      <c r="C369" s="50" t="n"/>
      <c r="D369" s="50" t="n"/>
      <c r="E369" s="68">
        <f>VLOOKUP(L369,'SKU Data'!A:B,2,0)</f>
        <v/>
      </c>
      <c r="F369" s="50" t="n"/>
      <c r="G369" s="126">
        <f>VLOOKUP(L369,'SKU Data'!A:C,3,0)</f>
        <v/>
      </c>
      <c r="H369" s="126">
        <f>F369*G369</f>
        <v/>
      </c>
      <c r="I369" s="50" t="n"/>
      <c r="J369" s="68" t="n"/>
      <c r="K369" s="50" t="n"/>
      <c r="L369" s="65" t="n"/>
      <c r="M369" s="70">
        <f>VLOOKUP(L369,'SKU Data'!A:D,4,0)</f>
        <v/>
      </c>
    </row>
    <row r="370" ht="21.75" customFormat="1" customHeight="1" s="71">
      <c r="A370" s="86" t="n"/>
      <c r="B370" s="83" t="n"/>
      <c r="C370" s="50" t="n"/>
      <c r="D370" s="50" t="n"/>
      <c r="E370" s="68">
        <f>VLOOKUP(L370,'SKU Data'!A:B,2,0)</f>
        <v/>
      </c>
      <c r="F370" s="50" t="n"/>
      <c r="G370" s="126">
        <f>VLOOKUP(L370,'SKU Data'!A:C,3,0)</f>
        <v/>
      </c>
      <c r="H370" s="126">
        <f>F370*G370</f>
        <v/>
      </c>
      <c r="I370" s="50" t="n"/>
      <c r="J370" s="68" t="n"/>
      <c r="K370" s="50" t="n"/>
      <c r="L370" s="65" t="n"/>
      <c r="M370" s="70">
        <f>VLOOKUP(L370,'SKU Data'!A:D,4,0)</f>
        <v/>
      </c>
    </row>
    <row r="371" ht="21.75" customFormat="1" customHeight="1" s="71">
      <c r="A371" s="86" t="n"/>
      <c r="B371" s="83" t="n"/>
      <c r="C371" s="50" t="n"/>
      <c r="D371" s="50" t="n"/>
      <c r="E371" s="68">
        <f>VLOOKUP(L371,'SKU Data'!A:B,2,0)</f>
        <v/>
      </c>
      <c r="F371" s="50" t="n"/>
      <c r="G371" s="126">
        <f>VLOOKUP(L371,'SKU Data'!A:C,3,0)</f>
        <v/>
      </c>
      <c r="H371" s="126">
        <f>F371*G371</f>
        <v/>
      </c>
      <c r="I371" s="50" t="n"/>
      <c r="J371" s="68" t="n"/>
      <c r="K371" s="50" t="n"/>
      <c r="L371" s="65" t="n"/>
      <c r="M371" s="70">
        <f>VLOOKUP(L371,'SKU Data'!A:D,4,0)</f>
        <v/>
      </c>
    </row>
    <row r="372" ht="21.75" customFormat="1" customHeight="1" s="71">
      <c r="A372" s="86" t="n"/>
      <c r="B372" s="83" t="n"/>
      <c r="C372" s="50" t="n"/>
      <c r="D372" s="50" t="n"/>
      <c r="E372" s="68">
        <f>VLOOKUP(L372,'SKU Data'!A:B,2,0)</f>
        <v/>
      </c>
      <c r="F372" s="50" t="n"/>
      <c r="G372" s="126">
        <f>VLOOKUP(L372,'SKU Data'!A:C,3,0)</f>
        <v/>
      </c>
      <c r="H372" s="126">
        <f>F372*G372</f>
        <v/>
      </c>
      <c r="I372" s="50" t="n"/>
      <c r="J372" s="68" t="n"/>
      <c r="K372" s="50" t="n"/>
      <c r="L372" s="65" t="n"/>
      <c r="M372" s="70">
        <f>VLOOKUP(L372,'SKU Data'!A:D,4,0)</f>
        <v/>
      </c>
    </row>
    <row r="373" ht="21.75" customFormat="1" customHeight="1" s="71">
      <c r="A373" s="86" t="n"/>
      <c r="B373" s="83" t="n"/>
      <c r="C373" s="50" t="n"/>
      <c r="D373" s="50" t="n"/>
      <c r="E373" s="68">
        <f>VLOOKUP(L373,'SKU Data'!A:B,2,0)</f>
        <v/>
      </c>
      <c r="F373" s="50" t="n"/>
      <c r="G373" s="126">
        <f>VLOOKUP(L373,'SKU Data'!A:C,3,0)</f>
        <v/>
      </c>
      <c r="H373" s="126">
        <f>F373*G373</f>
        <v/>
      </c>
      <c r="I373" s="50" t="n"/>
      <c r="J373" s="68" t="n"/>
      <c r="K373" s="50" t="n"/>
      <c r="L373" s="65" t="n"/>
      <c r="M373" s="70">
        <f>VLOOKUP(L373,'SKU Data'!A:D,4,0)</f>
        <v/>
      </c>
    </row>
    <row r="374" ht="21.75" customFormat="1" customHeight="1" s="71">
      <c r="A374" s="86" t="n"/>
      <c r="B374" s="83" t="n"/>
      <c r="C374" s="50" t="n"/>
      <c r="D374" s="50" t="n"/>
      <c r="E374" s="68">
        <f>VLOOKUP(L374,'SKU Data'!A:B,2,0)</f>
        <v/>
      </c>
      <c r="F374" s="50" t="n"/>
      <c r="G374" s="126">
        <f>VLOOKUP(L374,'SKU Data'!A:C,3,0)</f>
        <v/>
      </c>
      <c r="H374" s="126">
        <f>F374*G374</f>
        <v/>
      </c>
      <c r="I374" s="50" t="n"/>
      <c r="J374" s="68" t="n"/>
      <c r="K374" s="50" t="n"/>
      <c r="L374" s="65" t="n"/>
      <c r="M374" s="70">
        <f>VLOOKUP(L374,'SKU Data'!A:D,4,0)</f>
        <v/>
      </c>
    </row>
    <row r="375" ht="21.75" customFormat="1" customHeight="1" s="71">
      <c r="A375" s="86" t="n"/>
      <c r="B375" s="83" t="n"/>
      <c r="C375" s="50" t="n"/>
      <c r="D375" s="50" t="n"/>
      <c r="E375" s="68">
        <f>VLOOKUP(L375,'SKU Data'!A:B,2,0)</f>
        <v/>
      </c>
      <c r="F375" s="50" t="n"/>
      <c r="G375" s="126">
        <f>VLOOKUP(L375,'SKU Data'!A:C,3,0)</f>
        <v/>
      </c>
      <c r="H375" s="126">
        <f>F375*G375</f>
        <v/>
      </c>
      <c r="I375" s="50" t="n"/>
      <c r="J375" s="68" t="n"/>
      <c r="K375" s="50" t="n"/>
      <c r="L375" s="65" t="n"/>
      <c r="M375" s="70">
        <f>VLOOKUP(L375,'SKU Data'!A:D,4,0)</f>
        <v/>
      </c>
    </row>
    <row r="376" ht="21.75" customFormat="1" customHeight="1" s="71">
      <c r="A376" s="86" t="n"/>
      <c r="B376" s="83" t="n"/>
      <c r="C376" s="50" t="n"/>
      <c r="D376" s="50" t="n"/>
      <c r="E376" s="68">
        <f>VLOOKUP(L376,'SKU Data'!A:B,2,0)</f>
        <v/>
      </c>
      <c r="F376" s="50" t="n"/>
      <c r="G376" s="126">
        <f>VLOOKUP(L376,'SKU Data'!A:C,3,0)</f>
        <v/>
      </c>
      <c r="H376" s="126">
        <f>F376*G376</f>
        <v/>
      </c>
      <c r="I376" s="50" t="n"/>
      <c r="J376" s="68" t="n"/>
      <c r="K376" s="50" t="n"/>
      <c r="L376" s="65" t="n"/>
      <c r="M376" s="70">
        <f>VLOOKUP(L376,'SKU Data'!A:D,4,0)</f>
        <v/>
      </c>
    </row>
    <row r="377" ht="21.75" customFormat="1" customHeight="1" s="71">
      <c r="A377" s="86" t="n"/>
      <c r="B377" s="83" t="n"/>
      <c r="C377" s="50" t="n"/>
      <c r="D377" s="50" t="n"/>
      <c r="E377" s="68">
        <f>VLOOKUP(L377,'SKU Data'!A:B,2,0)</f>
        <v/>
      </c>
      <c r="F377" s="50" t="n"/>
      <c r="G377" s="126">
        <f>VLOOKUP(L377,'SKU Data'!A:C,3,0)</f>
        <v/>
      </c>
      <c r="H377" s="126">
        <f>F377*G377</f>
        <v/>
      </c>
      <c r="I377" s="50" t="n"/>
      <c r="J377" s="68" t="n"/>
      <c r="K377" s="50" t="n"/>
      <c r="L377" s="65" t="n"/>
      <c r="M377" s="70">
        <f>VLOOKUP(L377,'SKU Data'!A:D,4,0)</f>
        <v/>
      </c>
    </row>
    <row r="378" ht="21.75" customFormat="1" customHeight="1" s="71">
      <c r="A378" s="86" t="n"/>
      <c r="B378" s="83" t="n"/>
      <c r="C378" s="50" t="n"/>
      <c r="D378" s="50" t="n"/>
      <c r="E378" s="68">
        <f>VLOOKUP(L378,'SKU Data'!A:B,2,0)</f>
        <v/>
      </c>
      <c r="F378" s="50" t="n"/>
      <c r="G378" s="126">
        <f>VLOOKUP(L378,'SKU Data'!A:C,3,0)</f>
        <v/>
      </c>
      <c r="H378" s="126">
        <f>F378*G378</f>
        <v/>
      </c>
      <c r="I378" s="50" t="n"/>
      <c r="J378" s="68" t="n"/>
      <c r="K378" s="50" t="n"/>
      <c r="L378" s="65" t="n"/>
      <c r="M378" s="70">
        <f>VLOOKUP(L378,'SKU Data'!A:D,4,0)</f>
        <v/>
      </c>
    </row>
    <row r="379" ht="21.75" customFormat="1" customHeight="1" s="71">
      <c r="A379" s="86" t="n"/>
      <c r="B379" s="83" t="n"/>
      <c r="C379" s="50" t="n"/>
      <c r="D379" s="50" t="n"/>
      <c r="E379" s="68">
        <f>VLOOKUP(L379,'SKU Data'!A:B,2,0)</f>
        <v/>
      </c>
      <c r="F379" s="50" t="n"/>
      <c r="G379" s="126">
        <f>VLOOKUP(L379,'SKU Data'!A:C,3,0)</f>
        <v/>
      </c>
      <c r="H379" s="126">
        <f>F379*G379</f>
        <v/>
      </c>
      <c r="I379" s="50" t="n"/>
      <c r="J379" s="68" t="n"/>
      <c r="K379" s="50" t="n"/>
      <c r="L379" s="65" t="n"/>
      <c r="M379" s="70">
        <f>VLOOKUP(L379,'SKU Data'!A:D,4,0)</f>
        <v/>
      </c>
    </row>
    <row r="380" ht="21.75" customFormat="1" customHeight="1" s="71">
      <c r="A380" s="86" t="n"/>
      <c r="B380" s="83" t="n"/>
      <c r="C380" s="50" t="n"/>
      <c r="D380" s="50" t="n"/>
      <c r="E380" s="68">
        <f>VLOOKUP(L380,'SKU Data'!A:B,2,0)</f>
        <v/>
      </c>
      <c r="F380" s="50" t="n"/>
      <c r="G380" s="126">
        <f>VLOOKUP(L380,'SKU Data'!A:C,3,0)</f>
        <v/>
      </c>
      <c r="H380" s="126">
        <f>F380*G380</f>
        <v/>
      </c>
      <c r="I380" s="50" t="n"/>
      <c r="J380" s="68" t="n"/>
      <c r="K380" s="50" t="n"/>
      <c r="L380" s="65" t="n"/>
      <c r="M380" s="70">
        <f>VLOOKUP(L380,'SKU Data'!A:D,4,0)</f>
        <v/>
      </c>
    </row>
    <row r="381" ht="21.75" customFormat="1" customHeight="1" s="71">
      <c r="A381" s="86" t="n"/>
      <c r="B381" s="83" t="n"/>
      <c r="C381" s="50" t="n"/>
      <c r="D381" s="50" t="n"/>
      <c r="E381" s="68">
        <f>VLOOKUP(L381,'SKU Data'!A:B,2,0)</f>
        <v/>
      </c>
      <c r="F381" s="50" t="n"/>
      <c r="G381" s="126">
        <f>VLOOKUP(L381,'SKU Data'!A:C,3,0)</f>
        <v/>
      </c>
      <c r="H381" s="126">
        <f>F381*G381</f>
        <v/>
      </c>
      <c r="I381" s="50" t="n"/>
      <c r="J381" s="68" t="n"/>
      <c r="K381" s="50" t="n"/>
      <c r="L381" s="65" t="n"/>
      <c r="M381" s="70">
        <f>VLOOKUP(L381,'SKU Data'!A:D,4,0)</f>
        <v/>
      </c>
    </row>
    <row r="382" ht="21.75" customFormat="1" customHeight="1" s="71">
      <c r="A382" s="86" t="n"/>
      <c r="B382" s="83" t="n"/>
      <c r="C382" s="50" t="n"/>
      <c r="D382" s="50" t="n"/>
      <c r="E382" s="68">
        <f>VLOOKUP(L382,'SKU Data'!A:B,2,0)</f>
        <v/>
      </c>
      <c r="F382" s="50" t="n"/>
      <c r="G382" s="126">
        <f>VLOOKUP(L382,'SKU Data'!A:C,3,0)</f>
        <v/>
      </c>
      <c r="H382" s="126">
        <f>F382*G382</f>
        <v/>
      </c>
      <c r="I382" s="50" t="n"/>
      <c r="J382" s="68" t="n"/>
      <c r="K382" s="50" t="n"/>
      <c r="L382" s="65" t="n"/>
      <c r="M382" s="70">
        <f>VLOOKUP(L382,'SKU Data'!A:D,4,0)</f>
        <v/>
      </c>
    </row>
    <row r="383" ht="21.75" customFormat="1" customHeight="1" s="71">
      <c r="A383" s="86" t="n"/>
      <c r="B383" s="83" t="n"/>
      <c r="C383" s="50" t="n"/>
      <c r="D383" s="50" t="n"/>
      <c r="E383" s="68">
        <f>VLOOKUP(L383,'SKU Data'!A:B,2,0)</f>
        <v/>
      </c>
      <c r="F383" s="50" t="n"/>
      <c r="G383" s="126">
        <f>VLOOKUP(L383,'SKU Data'!A:C,3,0)</f>
        <v/>
      </c>
      <c r="H383" s="126">
        <f>F383*G383</f>
        <v/>
      </c>
      <c r="I383" s="50" t="n"/>
      <c r="J383" s="68" t="n"/>
      <c r="K383" s="50" t="n"/>
      <c r="L383" s="65" t="n"/>
      <c r="M383" s="70">
        <f>VLOOKUP(L383,'SKU Data'!A:D,4,0)</f>
        <v/>
      </c>
    </row>
    <row r="384" ht="21.75" customFormat="1" customHeight="1" s="71">
      <c r="A384" s="86" t="n"/>
      <c r="B384" s="83" t="n"/>
      <c r="C384" s="50" t="n"/>
      <c r="D384" s="50" t="n"/>
      <c r="E384" s="68">
        <f>VLOOKUP(L384,'SKU Data'!A:B,2,0)</f>
        <v/>
      </c>
      <c r="F384" s="50" t="n"/>
      <c r="G384" s="126">
        <f>VLOOKUP(L384,'SKU Data'!A:C,3,0)</f>
        <v/>
      </c>
      <c r="H384" s="126">
        <f>F384*G384</f>
        <v/>
      </c>
      <c r="I384" s="50" t="n"/>
      <c r="J384" s="68" t="n"/>
      <c r="K384" s="50" t="n"/>
      <c r="L384" s="65" t="n"/>
      <c r="M384" s="70">
        <f>VLOOKUP(L384,'SKU Data'!A:D,4,0)</f>
        <v/>
      </c>
    </row>
    <row r="385" ht="21.75" customFormat="1" customHeight="1" s="71">
      <c r="A385" s="86" t="n"/>
      <c r="B385" s="83" t="n"/>
      <c r="C385" s="50" t="n"/>
      <c r="D385" s="50" t="n"/>
      <c r="E385" s="68">
        <f>VLOOKUP(L385,'SKU Data'!A:B,2,0)</f>
        <v/>
      </c>
      <c r="F385" s="50" t="n"/>
      <c r="G385" s="126">
        <f>VLOOKUP(L385,'SKU Data'!A:C,3,0)</f>
        <v/>
      </c>
      <c r="H385" s="126">
        <f>F385*G385</f>
        <v/>
      </c>
      <c r="I385" s="50" t="n"/>
      <c r="J385" s="68" t="n"/>
      <c r="K385" s="50" t="n"/>
      <c r="L385" s="65" t="n"/>
      <c r="M385" s="70">
        <f>VLOOKUP(L385,'SKU Data'!A:D,4,0)</f>
        <v/>
      </c>
    </row>
    <row r="386" ht="21.75" customFormat="1" customHeight="1" s="71">
      <c r="A386" s="86" t="n"/>
      <c r="B386" s="83" t="n"/>
      <c r="C386" s="50" t="n"/>
      <c r="D386" s="50" t="n"/>
      <c r="E386" s="68">
        <f>VLOOKUP(L386,'SKU Data'!A:B,2,0)</f>
        <v/>
      </c>
      <c r="F386" s="50" t="n"/>
      <c r="G386" s="126">
        <f>VLOOKUP(L386,'SKU Data'!A:C,3,0)</f>
        <v/>
      </c>
      <c r="H386" s="126">
        <f>F386*G386</f>
        <v/>
      </c>
      <c r="I386" s="50" t="n"/>
      <c r="J386" s="68" t="n"/>
      <c r="K386" s="50" t="n"/>
      <c r="L386" s="65" t="n"/>
      <c r="M386" s="70">
        <f>VLOOKUP(L386,'SKU Data'!A:D,4,0)</f>
        <v/>
      </c>
    </row>
    <row r="387" ht="21.75" customFormat="1" customHeight="1" s="71">
      <c r="A387" s="86" t="n"/>
      <c r="B387" s="83" t="n"/>
      <c r="C387" s="50" t="n"/>
      <c r="D387" s="50" t="n"/>
      <c r="E387" s="68">
        <f>VLOOKUP(L387,'SKU Data'!A:B,2,0)</f>
        <v/>
      </c>
      <c r="F387" s="50" t="n"/>
      <c r="G387" s="126">
        <f>VLOOKUP(L387,'SKU Data'!A:C,3,0)</f>
        <v/>
      </c>
      <c r="H387" s="126">
        <f>F387*G387</f>
        <v/>
      </c>
      <c r="I387" s="50" t="n"/>
      <c r="J387" s="68" t="n"/>
      <c r="K387" s="50" t="n"/>
      <c r="L387" s="65" t="n"/>
      <c r="M387" s="70">
        <f>VLOOKUP(L387,'SKU Data'!A:D,4,0)</f>
        <v/>
      </c>
    </row>
    <row r="388" ht="21.75" customFormat="1" customHeight="1" s="71">
      <c r="A388" s="86" t="n"/>
      <c r="B388" s="83" t="n"/>
      <c r="C388" s="50" t="n"/>
      <c r="D388" s="50" t="n"/>
      <c r="E388" s="68">
        <f>VLOOKUP(L388,'SKU Data'!A:B,2,0)</f>
        <v/>
      </c>
      <c r="F388" s="50" t="n"/>
      <c r="G388" s="126">
        <f>VLOOKUP(L388,'SKU Data'!A:C,3,0)</f>
        <v/>
      </c>
      <c r="H388" s="126">
        <f>F388*G388</f>
        <v/>
      </c>
      <c r="I388" s="50" t="n"/>
      <c r="J388" s="68" t="n"/>
      <c r="K388" s="50" t="n"/>
      <c r="L388" s="65" t="n"/>
      <c r="M388" s="70">
        <f>VLOOKUP(L388,'SKU Data'!A:D,4,0)</f>
        <v/>
      </c>
    </row>
    <row r="389" ht="21.75" customFormat="1" customHeight="1" s="71">
      <c r="A389" s="86" t="n"/>
      <c r="B389" s="83" t="n"/>
      <c r="C389" s="50" t="n"/>
      <c r="D389" s="50" t="n"/>
      <c r="E389" s="68">
        <f>VLOOKUP(L389,'SKU Data'!A:B,2,0)</f>
        <v/>
      </c>
      <c r="F389" s="50" t="n"/>
      <c r="G389" s="126">
        <f>VLOOKUP(L389,'SKU Data'!A:C,3,0)</f>
        <v/>
      </c>
      <c r="H389" s="126">
        <f>F389*G389</f>
        <v/>
      </c>
      <c r="I389" s="50" t="n"/>
      <c r="J389" s="68" t="n"/>
      <c r="K389" s="50" t="n"/>
      <c r="L389" s="65" t="n"/>
      <c r="M389" s="70">
        <f>VLOOKUP(L389,'SKU Data'!A:D,4,0)</f>
        <v/>
      </c>
    </row>
    <row r="390" ht="21.75" customFormat="1" customHeight="1" s="71">
      <c r="A390" s="86" t="n"/>
      <c r="B390" s="83" t="n"/>
      <c r="C390" s="50" t="n"/>
      <c r="D390" s="50" t="n"/>
      <c r="E390" s="68">
        <f>VLOOKUP(L390,'SKU Data'!A:B,2,0)</f>
        <v/>
      </c>
      <c r="F390" s="50" t="n"/>
      <c r="G390" s="126">
        <f>VLOOKUP(L390,'SKU Data'!A:C,3,0)</f>
        <v/>
      </c>
      <c r="H390" s="126">
        <f>F390*G390</f>
        <v/>
      </c>
      <c r="I390" s="50" t="n"/>
      <c r="J390" s="68" t="n"/>
      <c r="K390" s="50" t="n"/>
      <c r="L390" s="65" t="n"/>
      <c r="M390" s="70">
        <f>VLOOKUP(L390,'SKU Data'!A:D,4,0)</f>
        <v/>
      </c>
    </row>
    <row r="391" ht="21.75" customFormat="1" customHeight="1" s="71">
      <c r="A391" s="86" t="n"/>
      <c r="B391" s="83" t="n"/>
      <c r="C391" s="50" t="n"/>
      <c r="D391" s="50" t="n"/>
      <c r="E391" s="68">
        <f>VLOOKUP(L391,'SKU Data'!A:B,2,0)</f>
        <v/>
      </c>
      <c r="F391" s="50" t="n"/>
      <c r="G391" s="126">
        <f>VLOOKUP(L391,'SKU Data'!A:C,3,0)</f>
        <v/>
      </c>
      <c r="H391" s="126">
        <f>F391*G391</f>
        <v/>
      </c>
      <c r="I391" s="50" t="n"/>
      <c r="J391" s="68" t="n"/>
      <c r="K391" s="50" t="n"/>
      <c r="L391" s="65" t="n"/>
      <c r="M391" s="70">
        <f>VLOOKUP(L391,'SKU Data'!A:D,4,0)</f>
        <v/>
      </c>
    </row>
    <row r="392" ht="21.75" customFormat="1" customHeight="1" s="71">
      <c r="A392" s="86" t="n"/>
      <c r="B392" s="83" t="n"/>
      <c r="C392" s="50" t="n"/>
      <c r="D392" s="50" t="n"/>
      <c r="E392" s="68">
        <f>VLOOKUP(L392,'SKU Data'!A:B,2,0)</f>
        <v/>
      </c>
      <c r="F392" s="50" t="n"/>
      <c r="G392" s="126">
        <f>VLOOKUP(L392,'SKU Data'!A:C,3,0)</f>
        <v/>
      </c>
      <c r="H392" s="126">
        <f>F392*G392</f>
        <v/>
      </c>
      <c r="I392" s="50" t="n"/>
      <c r="J392" s="68" t="n"/>
      <c r="K392" s="50" t="n"/>
      <c r="L392" s="65" t="n"/>
      <c r="M392" s="70">
        <f>VLOOKUP(L392,'SKU Data'!A:D,4,0)</f>
        <v/>
      </c>
    </row>
    <row r="393" ht="21.75" customFormat="1" customHeight="1" s="71">
      <c r="A393" s="86" t="n"/>
      <c r="B393" s="83" t="n"/>
      <c r="C393" s="50" t="n"/>
      <c r="D393" s="50" t="n"/>
      <c r="E393" s="68">
        <f>VLOOKUP(L393,'SKU Data'!A:B,2,0)</f>
        <v/>
      </c>
      <c r="F393" s="50" t="n"/>
      <c r="G393" s="126">
        <f>VLOOKUP(L393,'SKU Data'!A:C,3,0)</f>
        <v/>
      </c>
      <c r="H393" s="126">
        <f>F393*G393</f>
        <v/>
      </c>
      <c r="I393" s="50" t="n"/>
      <c r="J393" s="68" t="n"/>
      <c r="K393" s="50" t="n"/>
      <c r="L393" s="65" t="n"/>
      <c r="M393" s="70">
        <f>VLOOKUP(L393,'SKU Data'!A:D,4,0)</f>
        <v/>
      </c>
    </row>
    <row r="394" ht="21.75" customFormat="1" customHeight="1" s="71">
      <c r="A394" s="86" t="n"/>
      <c r="B394" s="83" t="n"/>
      <c r="C394" s="50" t="n"/>
      <c r="D394" s="50" t="n"/>
      <c r="E394" s="68">
        <f>VLOOKUP(L394,'SKU Data'!A:B,2,0)</f>
        <v/>
      </c>
      <c r="F394" s="50" t="n"/>
      <c r="G394" s="126">
        <f>VLOOKUP(L394,'SKU Data'!A:C,3,0)</f>
        <v/>
      </c>
      <c r="H394" s="126">
        <f>F394*G394</f>
        <v/>
      </c>
      <c r="I394" s="50" t="n"/>
      <c r="J394" s="68" t="n"/>
      <c r="K394" s="50" t="n"/>
      <c r="L394" s="65" t="n"/>
      <c r="M394" s="70">
        <f>VLOOKUP(L394,'SKU Data'!A:D,4,0)</f>
        <v/>
      </c>
    </row>
    <row r="395" ht="21.75" customFormat="1" customHeight="1" s="71">
      <c r="A395" s="86" t="n"/>
      <c r="B395" s="83" t="n"/>
      <c r="C395" s="50" t="n"/>
      <c r="D395" s="50" t="n"/>
      <c r="E395" s="68">
        <f>VLOOKUP(L395,'SKU Data'!A:B,2,0)</f>
        <v/>
      </c>
      <c r="F395" s="50" t="n"/>
      <c r="G395" s="126">
        <f>VLOOKUP(L395,'SKU Data'!A:C,3,0)</f>
        <v/>
      </c>
      <c r="H395" s="126">
        <f>F395*G395</f>
        <v/>
      </c>
      <c r="I395" s="50" t="n"/>
      <c r="J395" s="68" t="n"/>
      <c r="K395" s="50" t="n"/>
      <c r="L395" s="65" t="n"/>
      <c r="M395" s="70">
        <f>VLOOKUP(L395,'SKU Data'!A:D,4,0)</f>
        <v/>
      </c>
    </row>
    <row r="396" ht="21.75" customFormat="1" customHeight="1" s="71">
      <c r="A396" s="86" t="n"/>
      <c r="B396" s="83" t="n"/>
      <c r="C396" s="50" t="n"/>
      <c r="D396" s="50" t="n"/>
      <c r="E396" s="68">
        <f>VLOOKUP(L396,'SKU Data'!A:B,2,0)</f>
        <v/>
      </c>
      <c r="F396" s="50" t="n"/>
      <c r="G396" s="126">
        <f>VLOOKUP(L396,'SKU Data'!A:C,3,0)</f>
        <v/>
      </c>
      <c r="H396" s="126">
        <f>F396*G396</f>
        <v/>
      </c>
      <c r="I396" s="50" t="n"/>
      <c r="J396" s="68" t="n"/>
      <c r="K396" s="50" t="n"/>
      <c r="L396" s="65" t="n"/>
      <c r="M396" s="70">
        <f>VLOOKUP(L396,'SKU Data'!A:D,4,0)</f>
        <v/>
      </c>
    </row>
    <row r="397" ht="21.75" customFormat="1" customHeight="1" s="71">
      <c r="A397" s="86" t="n"/>
      <c r="B397" s="83" t="n"/>
      <c r="C397" s="50" t="n"/>
      <c r="D397" s="50" t="n"/>
      <c r="E397" s="68">
        <f>VLOOKUP(L397,'SKU Data'!A:B,2,0)</f>
        <v/>
      </c>
      <c r="F397" s="50" t="n"/>
      <c r="G397" s="126">
        <f>VLOOKUP(L397,'SKU Data'!A:C,3,0)</f>
        <v/>
      </c>
      <c r="H397" s="126">
        <f>F397*G397</f>
        <v/>
      </c>
      <c r="I397" s="50" t="n"/>
      <c r="J397" s="68" t="n"/>
      <c r="K397" s="50" t="n"/>
      <c r="L397" s="65" t="n"/>
      <c r="M397" s="70">
        <f>VLOOKUP(L397,'SKU Data'!A:D,4,0)</f>
        <v/>
      </c>
    </row>
    <row r="398" ht="21.75" customFormat="1" customHeight="1" s="71">
      <c r="A398" s="86" t="n"/>
      <c r="B398" s="83" t="n"/>
      <c r="C398" s="50" t="n"/>
      <c r="D398" s="50" t="n"/>
      <c r="E398" s="68">
        <f>VLOOKUP(L398,'SKU Data'!A:B,2,0)</f>
        <v/>
      </c>
      <c r="F398" s="50" t="n"/>
      <c r="G398" s="126">
        <f>VLOOKUP(L398,'SKU Data'!A:C,3,0)</f>
        <v/>
      </c>
      <c r="H398" s="126">
        <f>F398*G398</f>
        <v/>
      </c>
      <c r="I398" s="50" t="n"/>
      <c r="J398" s="68" t="n"/>
      <c r="K398" s="50" t="n"/>
      <c r="L398" s="65" t="n"/>
      <c r="M398" s="70">
        <f>VLOOKUP(L398,'SKU Data'!A:D,4,0)</f>
        <v/>
      </c>
    </row>
    <row r="399" ht="21.75" customFormat="1" customHeight="1" s="71">
      <c r="A399" s="86" t="n"/>
      <c r="B399" s="83" t="n"/>
      <c r="C399" s="50" t="n"/>
      <c r="D399" s="50" t="n"/>
      <c r="E399" s="68">
        <f>VLOOKUP(L399,'SKU Data'!A:B,2,0)</f>
        <v/>
      </c>
      <c r="F399" s="50" t="n"/>
      <c r="G399" s="126">
        <f>VLOOKUP(L399,'SKU Data'!A:C,3,0)</f>
        <v/>
      </c>
      <c r="H399" s="126">
        <f>F399*G399</f>
        <v/>
      </c>
      <c r="I399" s="50" t="n"/>
      <c r="J399" s="68" t="n"/>
      <c r="K399" s="50" t="n"/>
      <c r="L399" s="65" t="n"/>
      <c r="M399" s="70">
        <f>VLOOKUP(L399,'SKU Data'!A:D,4,0)</f>
        <v/>
      </c>
    </row>
    <row r="400" ht="21.75" customFormat="1" customHeight="1" s="71">
      <c r="A400" s="86" t="n"/>
      <c r="B400" s="83" t="n"/>
      <c r="C400" s="50" t="n"/>
      <c r="D400" s="50" t="n"/>
      <c r="E400" s="68">
        <f>VLOOKUP(L400,'SKU Data'!A:B,2,0)</f>
        <v/>
      </c>
      <c r="F400" s="50" t="n"/>
      <c r="G400" s="126">
        <f>VLOOKUP(L400,'SKU Data'!A:C,3,0)</f>
        <v/>
      </c>
      <c r="H400" s="126">
        <f>F400*G400</f>
        <v/>
      </c>
      <c r="I400" s="50" t="n"/>
      <c r="J400" s="68" t="n"/>
      <c r="K400" s="50" t="n"/>
      <c r="L400" s="65" t="n"/>
      <c r="M400" s="70">
        <f>VLOOKUP(L400,'SKU Data'!A:D,4,0)</f>
        <v/>
      </c>
    </row>
    <row r="401" ht="21.75" customFormat="1" customHeight="1" s="71">
      <c r="A401" s="86" t="n"/>
      <c r="B401" s="83" t="n"/>
      <c r="C401" s="50" t="n"/>
      <c r="D401" s="50" t="n"/>
      <c r="E401" s="68">
        <f>VLOOKUP(L401,'SKU Data'!A:B,2,0)</f>
        <v/>
      </c>
      <c r="F401" s="50" t="n"/>
      <c r="G401" s="126">
        <f>VLOOKUP(L401,'SKU Data'!A:C,3,0)</f>
        <v/>
      </c>
      <c r="H401" s="126">
        <f>F401*G401</f>
        <v/>
      </c>
      <c r="I401" s="50" t="n"/>
      <c r="J401" s="68" t="n"/>
      <c r="K401" s="50" t="n"/>
      <c r="L401" s="65" t="n"/>
      <c r="M401" s="70">
        <f>VLOOKUP(L401,'SKU Data'!A:D,4,0)</f>
        <v/>
      </c>
    </row>
    <row r="402" ht="21.75" customFormat="1" customHeight="1" s="71">
      <c r="A402" s="86" t="n"/>
      <c r="B402" s="83" t="n"/>
      <c r="C402" s="50" t="n"/>
      <c r="D402" s="50" t="n"/>
      <c r="E402" s="68">
        <f>VLOOKUP(L402,'SKU Data'!A:B,2,0)</f>
        <v/>
      </c>
      <c r="F402" s="50" t="n"/>
      <c r="G402" s="126">
        <f>VLOOKUP(L402,'SKU Data'!A:C,3,0)</f>
        <v/>
      </c>
      <c r="H402" s="126">
        <f>F402*G402</f>
        <v/>
      </c>
      <c r="I402" s="50" t="n"/>
      <c r="J402" s="68" t="n"/>
      <c r="K402" s="50" t="n"/>
      <c r="L402" s="65" t="n"/>
      <c r="M402" s="70">
        <f>VLOOKUP(L402,'SKU Data'!A:D,4,0)</f>
        <v/>
      </c>
    </row>
    <row r="403" ht="21.75" customFormat="1" customHeight="1" s="71">
      <c r="A403" s="86" t="n"/>
      <c r="B403" s="83" t="n"/>
      <c r="C403" s="50" t="n"/>
      <c r="D403" s="50" t="n"/>
      <c r="E403" s="68">
        <f>VLOOKUP(L403,'SKU Data'!A:B,2,0)</f>
        <v/>
      </c>
      <c r="F403" s="50" t="n"/>
      <c r="G403" s="126">
        <f>VLOOKUP(L403,'SKU Data'!A:C,3,0)</f>
        <v/>
      </c>
      <c r="H403" s="126">
        <f>F403*G403</f>
        <v/>
      </c>
      <c r="I403" s="50" t="n"/>
      <c r="J403" s="68" t="n"/>
      <c r="K403" s="50" t="n"/>
      <c r="L403" s="65" t="n"/>
      <c r="M403" s="70">
        <f>VLOOKUP(L403,'SKU Data'!A:D,4,0)</f>
        <v/>
      </c>
    </row>
    <row r="404" ht="21.75" customFormat="1" customHeight="1" s="71">
      <c r="A404" s="86" t="n"/>
      <c r="B404" s="83" t="n"/>
      <c r="C404" s="50" t="n"/>
      <c r="D404" s="50" t="n"/>
      <c r="E404" s="68">
        <f>VLOOKUP(L404,'SKU Data'!A:B,2,0)</f>
        <v/>
      </c>
      <c r="F404" s="50" t="n"/>
      <c r="G404" s="126">
        <f>VLOOKUP(L404,'SKU Data'!A:C,3,0)</f>
        <v/>
      </c>
      <c r="H404" s="126">
        <f>F404*G404</f>
        <v/>
      </c>
      <c r="I404" s="50" t="n"/>
      <c r="J404" s="68" t="n"/>
      <c r="K404" s="50" t="n"/>
      <c r="L404" s="65" t="n"/>
      <c r="M404" s="70">
        <f>VLOOKUP(L404,'SKU Data'!A:D,4,0)</f>
        <v/>
      </c>
    </row>
    <row r="405" ht="21.75" customFormat="1" customHeight="1" s="71">
      <c r="A405" s="86" t="n"/>
      <c r="B405" s="83" t="n"/>
      <c r="C405" s="50" t="n"/>
      <c r="D405" s="50" t="n"/>
      <c r="E405" s="68">
        <f>VLOOKUP(L405,'SKU Data'!A:B,2,0)</f>
        <v/>
      </c>
      <c r="F405" s="50" t="n"/>
      <c r="G405" s="126">
        <f>VLOOKUP(L405,'SKU Data'!A:C,3,0)</f>
        <v/>
      </c>
      <c r="H405" s="126">
        <f>F405*G405</f>
        <v/>
      </c>
      <c r="I405" s="50" t="n"/>
      <c r="J405" s="68" t="n"/>
      <c r="K405" s="50" t="n"/>
      <c r="L405" s="65" t="n"/>
      <c r="M405" s="70">
        <f>VLOOKUP(L405,'SKU Data'!A:D,4,0)</f>
        <v/>
      </c>
    </row>
    <row r="406" ht="21.75" customFormat="1" customHeight="1" s="71">
      <c r="A406" s="86" t="n"/>
      <c r="B406" s="83" t="n"/>
      <c r="C406" s="50" t="n"/>
      <c r="D406" s="50" t="n"/>
      <c r="E406" s="68">
        <f>VLOOKUP(L406,'SKU Data'!A:B,2,0)</f>
        <v/>
      </c>
      <c r="F406" s="50" t="n"/>
      <c r="G406" s="126">
        <f>VLOOKUP(L406,'SKU Data'!A:C,3,0)</f>
        <v/>
      </c>
      <c r="H406" s="126">
        <f>F406*G406</f>
        <v/>
      </c>
      <c r="I406" s="50" t="n"/>
      <c r="J406" s="68" t="n"/>
      <c r="K406" s="50" t="n"/>
      <c r="L406" s="65" t="n"/>
      <c r="M406" s="70">
        <f>VLOOKUP(L406,'SKU Data'!A:D,4,0)</f>
        <v/>
      </c>
    </row>
    <row r="407" ht="21.75" customFormat="1" customHeight="1" s="71">
      <c r="A407" s="86" t="n"/>
      <c r="B407" s="83" t="n"/>
      <c r="C407" s="50" t="n"/>
      <c r="D407" s="50" t="n"/>
      <c r="E407" s="68">
        <f>VLOOKUP(L407,'SKU Data'!A:B,2,0)</f>
        <v/>
      </c>
      <c r="F407" s="50" t="n"/>
      <c r="G407" s="126">
        <f>VLOOKUP(L407,'SKU Data'!A:C,3,0)</f>
        <v/>
      </c>
      <c r="H407" s="126">
        <f>F407*G407</f>
        <v/>
      </c>
      <c r="I407" s="50" t="n"/>
      <c r="J407" s="68" t="n"/>
      <c r="K407" s="50" t="n"/>
      <c r="L407" s="65" t="n"/>
      <c r="M407" s="70">
        <f>VLOOKUP(L407,'SKU Data'!A:D,4,0)</f>
        <v/>
      </c>
    </row>
    <row r="408" ht="21.75" customFormat="1" customHeight="1" s="71">
      <c r="A408" s="86" t="n"/>
      <c r="B408" s="83" t="n"/>
      <c r="C408" s="50" t="n"/>
      <c r="D408" s="50" t="n"/>
      <c r="E408" s="68">
        <f>VLOOKUP(L408,'SKU Data'!A:B,2,0)</f>
        <v/>
      </c>
      <c r="F408" s="50" t="n"/>
      <c r="G408" s="126">
        <f>VLOOKUP(L408,'SKU Data'!A:C,3,0)</f>
        <v/>
      </c>
      <c r="H408" s="126">
        <f>F408*G408</f>
        <v/>
      </c>
      <c r="I408" s="50" t="n"/>
      <c r="J408" s="68" t="n"/>
      <c r="K408" s="50" t="n"/>
      <c r="L408" s="65" t="n"/>
      <c r="M408" s="70">
        <f>VLOOKUP(L408,'SKU Data'!A:D,4,0)</f>
        <v/>
      </c>
    </row>
    <row r="409" ht="21.75" customFormat="1" customHeight="1" s="71">
      <c r="A409" s="86" t="n"/>
      <c r="B409" s="83" t="n"/>
      <c r="C409" s="50" t="n"/>
      <c r="D409" s="50" t="n"/>
      <c r="E409" s="68">
        <f>VLOOKUP(L409,'SKU Data'!A:B,2,0)</f>
        <v/>
      </c>
      <c r="F409" s="50" t="n"/>
      <c r="G409" s="126">
        <f>VLOOKUP(L409,'SKU Data'!A:C,3,0)</f>
        <v/>
      </c>
      <c r="H409" s="126">
        <f>F409*G409</f>
        <v/>
      </c>
      <c r="I409" s="50" t="n"/>
      <c r="J409" s="68" t="n"/>
      <c r="K409" s="50" t="n"/>
      <c r="L409" s="65" t="n"/>
      <c r="M409" s="70">
        <f>VLOOKUP(L409,'SKU Data'!A:D,4,0)</f>
        <v/>
      </c>
    </row>
    <row r="410" ht="21.75" customFormat="1" customHeight="1" s="71">
      <c r="A410" s="86" t="n"/>
      <c r="B410" s="83" t="n"/>
      <c r="C410" s="50" t="n"/>
      <c r="D410" s="50" t="n"/>
      <c r="E410" s="68">
        <f>VLOOKUP(L410,'SKU Data'!A:B,2,0)</f>
        <v/>
      </c>
      <c r="F410" s="50" t="n"/>
      <c r="G410" s="126">
        <f>VLOOKUP(L410,'SKU Data'!A:C,3,0)</f>
        <v/>
      </c>
      <c r="H410" s="126">
        <f>F410*G410</f>
        <v/>
      </c>
      <c r="I410" s="50" t="n"/>
      <c r="J410" s="68" t="n"/>
      <c r="K410" s="50" t="n"/>
      <c r="L410" s="65" t="n"/>
      <c r="M410" s="70">
        <f>VLOOKUP(L410,'SKU Data'!A:D,4,0)</f>
        <v/>
      </c>
    </row>
    <row r="411" ht="21.75" customFormat="1" customHeight="1" s="71">
      <c r="A411" s="86" t="n"/>
      <c r="B411" s="83" t="n"/>
      <c r="C411" s="50" t="n"/>
      <c r="D411" s="50" t="n"/>
      <c r="E411" s="68">
        <f>VLOOKUP(L411,'SKU Data'!A:B,2,0)</f>
        <v/>
      </c>
      <c r="F411" s="50" t="n"/>
      <c r="G411" s="126">
        <f>VLOOKUP(L411,'SKU Data'!A:C,3,0)</f>
        <v/>
      </c>
      <c r="H411" s="126">
        <f>F411*G411</f>
        <v/>
      </c>
      <c r="I411" s="50" t="n"/>
      <c r="J411" s="68" t="n"/>
      <c r="K411" s="50" t="n"/>
      <c r="L411" s="65" t="n"/>
      <c r="M411" s="70">
        <f>VLOOKUP(L411,'SKU Data'!A:D,4,0)</f>
        <v/>
      </c>
    </row>
    <row r="412" ht="21.75" customFormat="1" customHeight="1" s="71">
      <c r="A412" s="86" t="n"/>
      <c r="B412" s="83" t="n"/>
      <c r="C412" s="50" t="n"/>
      <c r="D412" s="50" t="n"/>
      <c r="E412" s="68">
        <f>VLOOKUP(L412,'SKU Data'!A:B,2,0)</f>
        <v/>
      </c>
      <c r="F412" s="50" t="n"/>
      <c r="G412" s="126">
        <f>VLOOKUP(L412,'SKU Data'!A:C,3,0)</f>
        <v/>
      </c>
      <c r="H412" s="126">
        <f>F412*G412</f>
        <v/>
      </c>
      <c r="I412" s="50" t="n"/>
      <c r="J412" s="68" t="n"/>
      <c r="K412" s="50" t="n"/>
      <c r="L412" s="65" t="n"/>
      <c r="M412" s="70">
        <f>VLOOKUP(L412,'SKU Data'!A:D,4,0)</f>
        <v/>
      </c>
    </row>
    <row r="413" ht="21.75" customFormat="1" customHeight="1" s="71">
      <c r="A413" s="86" t="n"/>
      <c r="B413" s="83" t="n"/>
      <c r="C413" s="50" t="n"/>
      <c r="D413" s="50" t="n"/>
      <c r="E413" s="68">
        <f>VLOOKUP(L413,'SKU Data'!A:B,2,0)</f>
        <v/>
      </c>
      <c r="F413" s="50" t="n"/>
      <c r="G413" s="126">
        <f>VLOOKUP(L413,'SKU Data'!A:C,3,0)</f>
        <v/>
      </c>
      <c r="H413" s="126">
        <f>F413*G413</f>
        <v/>
      </c>
      <c r="I413" s="50" t="n"/>
      <c r="J413" s="68" t="n"/>
      <c r="K413" s="50" t="n"/>
      <c r="L413" s="65" t="n"/>
      <c r="M413" s="70">
        <f>VLOOKUP(L413,'SKU Data'!A:D,4,0)</f>
        <v/>
      </c>
    </row>
    <row r="414" ht="21.75" customFormat="1" customHeight="1" s="71">
      <c r="A414" s="86" t="n"/>
      <c r="B414" s="83" t="n"/>
      <c r="C414" s="50" t="n"/>
      <c r="D414" s="50" t="n"/>
      <c r="E414" s="68">
        <f>VLOOKUP(L414,'SKU Data'!A:B,2,0)</f>
        <v/>
      </c>
      <c r="F414" s="50" t="n"/>
      <c r="G414" s="126">
        <f>VLOOKUP(L414,'SKU Data'!A:C,3,0)</f>
        <v/>
      </c>
      <c r="H414" s="126">
        <f>F414*G414</f>
        <v/>
      </c>
      <c r="I414" s="50" t="n"/>
      <c r="J414" s="68" t="n"/>
      <c r="K414" s="50" t="n"/>
      <c r="L414" s="65" t="n"/>
      <c r="M414" s="70">
        <f>VLOOKUP(L414,'SKU Data'!A:D,4,0)</f>
        <v/>
      </c>
    </row>
    <row r="415" ht="21.75" customFormat="1" customHeight="1" s="71">
      <c r="A415" s="86" t="n"/>
      <c r="B415" s="83" t="n"/>
      <c r="C415" s="50" t="n"/>
      <c r="D415" s="50" t="n"/>
      <c r="E415" s="68">
        <f>VLOOKUP(L415,'SKU Data'!A:B,2,0)</f>
        <v/>
      </c>
      <c r="F415" s="50" t="n"/>
      <c r="G415" s="126">
        <f>VLOOKUP(L415,'SKU Data'!A:C,3,0)</f>
        <v/>
      </c>
      <c r="H415" s="126">
        <f>F415*G415</f>
        <v/>
      </c>
      <c r="I415" s="50" t="n"/>
      <c r="J415" s="68" t="n"/>
      <c r="K415" s="50" t="n"/>
      <c r="L415" s="65" t="n"/>
      <c r="M415" s="70">
        <f>VLOOKUP(L415,'SKU Data'!A:D,4,0)</f>
        <v/>
      </c>
    </row>
    <row r="416" ht="21.75" customFormat="1" customHeight="1" s="71">
      <c r="A416" s="86" t="n"/>
      <c r="B416" s="83" t="n"/>
      <c r="C416" s="50" t="n"/>
      <c r="D416" s="50" t="n"/>
      <c r="E416" s="68">
        <f>VLOOKUP(L416,'SKU Data'!A:B,2,0)</f>
        <v/>
      </c>
      <c r="F416" s="50" t="n"/>
      <c r="G416" s="126">
        <f>VLOOKUP(L416,'SKU Data'!A:C,3,0)</f>
        <v/>
      </c>
      <c r="H416" s="126">
        <f>F416*G416</f>
        <v/>
      </c>
      <c r="I416" s="50" t="n"/>
      <c r="J416" s="68" t="n"/>
      <c r="K416" s="50" t="n"/>
      <c r="L416" s="65" t="n"/>
      <c r="M416" s="70">
        <f>VLOOKUP(L416,'SKU Data'!A:D,4,0)</f>
        <v/>
      </c>
    </row>
    <row r="417" ht="21.75" customFormat="1" customHeight="1" s="71">
      <c r="A417" s="86" t="n"/>
      <c r="B417" s="83" t="n"/>
      <c r="C417" s="50" t="n"/>
      <c r="D417" s="50" t="n"/>
      <c r="E417" s="68">
        <f>VLOOKUP(L417,'SKU Data'!A:B,2,0)</f>
        <v/>
      </c>
      <c r="F417" s="50" t="n"/>
      <c r="G417" s="126">
        <f>VLOOKUP(L417,'SKU Data'!A:C,3,0)</f>
        <v/>
      </c>
      <c r="H417" s="126">
        <f>F417*G417</f>
        <v/>
      </c>
      <c r="I417" s="50" t="n"/>
      <c r="J417" s="68" t="n"/>
      <c r="K417" s="50" t="n"/>
      <c r="L417" s="65" t="n"/>
      <c r="M417" s="70">
        <f>VLOOKUP(L417,'SKU Data'!A:D,4,0)</f>
        <v/>
      </c>
    </row>
    <row r="418" ht="21.75" customFormat="1" customHeight="1" s="71">
      <c r="A418" s="86" t="n"/>
      <c r="B418" s="83" t="n"/>
      <c r="C418" s="50" t="n"/>
      <c r="D418" s="50" t="n"/>
      <c r="E418" s="68">
        <f>VLOOKUP(L418,'SKU Data'!A:B,2,0)</f>
        <v/>
      </c>
      <c r="F418" s="50" t="n"/>
      <c r="G418" s="126">
        <f>VLOOKUP(L418,'SKU Data'!A:C,3,0)</f>
        <v/>
      </c>
      <c r="H418" s="126">
        <f>F418*G418</f>
        <v/>
      </c>
      <c r="I418" s="50" t="n"/>
      <c r="J418" s="68" t="n"/>
      <c r="K418" s="50" t="n"/>
      <c r="L418" s="65" t="n"/>
      <c r="M418" s="70">
        <f>VLOOKUP(L418,'SKU Data'!A:D,4,0)</f>
        <v/>
      </c>
    </row>
    <row r="419" ht="21.75" customFormat="1" customHeight="1" s="71">
      <c r="A419" s="86" t="n"/>
      <c r="B419" s="83" t="n"/>
      <c r="C419" s="50" t="n"/>
      <c r="D419" s="50" t="n"/>
      <c r="E419" s="68">
        <f>VLOOKUP(L419,'SKU Data'!A:B,2,0)</f>
        <v/>
      </c>
      <c r="F419" s="50" t="n"/>
      <c r="G419" s="126">
        <f>VLOOKUP(L419,'SKU Data'!A:C,3,0)</f>
        <v/>
      </c>
      <c r="H419" s="126">
        <f>F419*G419</f>
        <v/>
      </c>
      <c r="I419" s="50" t="n"/>
      <c r="J419" s="68" t="n"/>
      <c r="K419" s="50" t="n"/>
      <c r="L419" s="65" t="n"/>
      <c r="M419" s="70">
        <f>VLOOKUP(L419,'SKU Data'!A:D,4,0)</f>
        <v/>
      </c>
    </row>
    <row r="420" ht="21.75" customFormat="1" customHeight="1" s="71">
      <c r="A420" s="86" t="n"/>
      <c r="B420" s="83" t="n"/>
      <c r="C420" s="50" t="n"/>
      <c r="D420" s="50" t="n"/>
      <c r="E420" s="68">
        <f>VLOOKUP(L420,'SKU Data'!A:B,2,0)</f>
        <v/>
      </c>
      <c r="F420" s="50" t="n"/>
      <c r="G420" s="126">
        <f>VLOOKUP(L420,'SKU Data'!A:C,3,0)</f>
        <v/>
      </c>
      <c r="H420" s="126">
        <f>F420*G420</f>
        <v/>
      </c>
      <c r="I420" s="50" t="n"/>
      <c r="J420" s="68" t="n"/>
      <c r="K420" s="50" t="n"/>
      <c r="L420" s="65" t="n"/>
      <c r="M420" s="70">
        <f>VLOOKUP(L420,'SKU Data'!A:D,4,0)</f>
        <v/>
      </c>
    </row>
    <row r="421" ht="21.75" customFormat="1" customHeight="1" s="71">
      <c r="A421" s="86" t="n"/>
      <c r="B421" s="83" t="n"/>
      <c r="C421" s="50" t="n"/>
      <c r="D421" s="50" t="n"/>
      <c r="E421" s="68">
        <f>VLOOKUP(L421,'SKU Data'!A:B,2,0)</f>
        <v/>
      </c>
      <c r="F421" s="50" t="n"/>
      <c r="G421" s="126">
        <f>VLOOKUP(L421,'SKU Data'!A:C,3,0)</f>
        <v/>
      </c>
      <c r="H421" s="126">
        <f>F421*G421</f>
        <v/>
      </c>
      <c r="I421" s="50" t="n"/>
      <c r="J421" s="68" t="n"/>
      <c r="K421" s="50" t="n"/>
      <c r="L421" s="65" t="n"/>
      <c r="M421" s="70">
        <f>VLOOKUP(L421,'SKU Data'!A:D,4,0)</f>
        <v/>
      </c>
    </row>
    <row r="422" ht="21.75" customFormat="1" customHeight="1" s="71">
      <c r="A422" s="86" t="n"/>
      <c r="B422" s="83" t="n"/>
      <c r="C422" s="50" t="n"/>
      <c r="D422" s="50" t="n"/>
      <c r="E422" s="68">
        <f>VLOOKUP(L422,'SKU Data'!A:B,2,0)</f>
        <v/>
      </c>
      <c r="F422" s="50" t="n"/>
      <c r="G422" s="126">
        <f>VLOOKUP(L422,'SKU Data'!A:C,3,0)</f>
        <v/>
      </c>
      <c r="H422" s="126">
        <f>F422*G422</f>
        <v/>
      </c>
      <c r="I422" s="50" t="n"/>
      <c r="J422" s="68" t="n"/>
      <c r="K422" s="50" t="n"/>
      <c r="L422" s="65" t="n"/>
      <c r="M422" s="70">
        <f>VLOOKUP(L422,'SKU Data'!A:D,4,0)</f>
        <v/>
      </c>
    </row>
    <row r="423" ht="21.75" customFormat="1" customHeight="1" s="71">
      <c r="A423" s="86" t="n"/>
      <c r="B423" s="83" t="n"/>
      <c r="C423" s="50" t="n"/>
      <c r="D423" s="50" t="n"/>
      <c r="E423" s="68">
        <f>VLOOKUP(L423,'SKU Data'!A:B,2,0)</f>
        <v/>
      </c>
      <c r="F423" s="50" t="n"/>
      <c r="G423" s="126">
        <f>VLOOKUP(L423,'SKU Data'!A:C,3,0)</f>
        <v/>
      </c>
      <c r="H423" s="126">
        <f>F423*G423</f>
        <v/>
      </c>
      <c r="I423" s="50" t="n"/>
      <c r="J423" s="68" t="n"/>
      <c r="K423" s="50" t="n"/>
      <c r="L423" s="65" t="n"/>
      <c r="M423" s="70">
        <f>VLOOKUP(L423,'SKU Data'!A:D,4,0)</f>
        <v/>
      </c>
    </row>
    <row r="424" ht="21.75" customFormat="1" customHeight="1" s="71">
      <c r="A424" s="86" t="n"/>
      <c r="B424" s="83" t="n"/>
      <c r="C424" s="50" t="n"/>
      <c r="D424" s="50" t="n"/>
      <c r="E424" s="68">
        <f>VLOOKUP(L424,'SKU Data'!A:B,2,0)</f>
        <v/>
      </c>
      <c r="F424" s="50" t="n"/>
      <c r="G424" s="126">
        <f>VLOOKUP(L424,'SKU Data'!A:C,3,0)</f>
        <v/>
      </c>
      <c r="H424" s="126">
        <f>F424*G424</f>
        <v/>
      </c>
      <c r="I424" s="50" t="n"/>
      <c r="J424" s="68" t="n"/>
      <c r="K424" s="50" t="n"/>
      <c r="L424" s="65" t="n"/>
      <c r="M424" s="70">
        <f>VLOOKUP(L424,'SKU Data'!A:D,4,0)</f>
        <v/>
      </c>
    </row>
    <row r="425" ht="21.75" customFormat="1" customHeight="1" s="71">
      <c r="A425" s="86" t="n"/>
      <c r="B425" s="83" t="n"/>
      <c r="C425" s="50" t="n"/>
      <c r="D425" s="50" t="n"/>
      <c r="E425" s="68">
        <f>VLOOKUP(L425,'SKU Data'!A:B,2,0)</f>
        <v/>
      </c>
      <c r="F425" s="50" t="n"/>
      <c r="G425" s="126">
        <f>VLOOKUP(L425,'SKU Data'!A:C,3,0)</f>
        <v/>
      </c>
      <c r="H425" s="126">
        <f>F425*G425</f>
        <v/>
      </c>
      <c r="I425" s="50" t="n"/>
      <c r="J425" s="68" t="n"/>
      <c r="K425" s="50" t="n"/>
      <c r="L425" s="65" t="n"/>
      <c r="M425" s="70">
        <f>VLOOKUP(L425,'SKU Data'!A:D,4,0)</f>
        <v/>
      </c>
    </row>
    <row r="426" ht="21.75" customFormat="1" customHeight="1" s="71">
      <c r="A426" s="86" t="n"/>
      <c r="B426" s="83" t="n"/>
      <c r="C426" s="50" t="n"/>
      <c r="D426" s="50" t="n"/>
      <c r="E426" s="68">
        <f>VLOOKUP(L426,'SKU Data'!A:B,2,0)</f>
        <v/>
      </c>
      <c r="F426" s="50" t="n"/>
      <c r="G426" s="126">
        <f>VLOOKUP(L426,'SKU Data'!A:C,3,0)</f>
        <v/>
      </c>
      <c r="H426" s="126">
        <f>F426*G426</f>
        <v/>
      </c>
      <c r="I426" s="50" t="n"/>
      <c r="J426" s="68" t="n"/>
      <c r="K426" s="50" t="n"/>
      <c r="L426" s="65" t="n"/>
      <c r="M426" s="70">
        <f>VLOOKUP(L426,'SKU Data'!A:D,4,0)</f>
        <v/>
      </c>
    </row>
    <row r="427" ht="21.75" customFormat="1" customHeight="1" s="71">
      <c r="A427" s="86" t="n"/>
      <c r="B427" s="83" t="n"/>
      <c r="C427" s="50" t="n"/>
      <c r="D427" s="50" t="n"/>
      <c r="E427" s="68">
        <f>VLOOKUP(L427,'SKU Data'!A:B,2,0)</f>
        <v/>
      </c>
      <c r="F427" s="50" t="n"/>
      <c r="G427" s="126">
        <f>VLOOKUP(L427,'SKU Data'!A:C,3,0)</f>
        <v/>
      </c>
      <c r="H427" s="126">
        <f>F427*G427</f>
        <v/>
      </c>
      <c r="I427" s="50" t="n"/>
      <c r="J427" s="68" t="n"/>
      <c r="K427" s="50" t="n"/>
      <c r="L427" s="65" t="n"/>
      <c r="M427" s="70">
        <f>VLOOKUP(L427,'SKU Data'!A:D,4,0)</f>
        <v/>
      </c>
    </row>
    <row r="428" ht="21.75" customFormat="1" customHeight="1" s="71">
      <c r="A428" s="86" t="n"/>
      <c r="B428" s="83" t="n"/>
      <c r="C428" s="50" t="n"/>
      <c r="D428" s="50" t="n"/>
      <c r="E428" s="68">
        <f>VLOOKUP(L428,'SKU Data'!A:B,2,0)</f>
        <v/>
      </c>
      <c r="F428" s="50" t="n"/>
      <c r="G428" s="126">
        <f>VLOOKUP(L428,'SKU Data'!A:C,3,0)</f>
        <v/>
      </c>
      <c r="H428" s="126">
        <f>F428*G428</f>
        <v/>
      </c>
      <c r="I428" s="50" t="n"/>
      <c r="J428" s="68" t="n"/>
      <c r="K428" s="50" t="n"/>
      <c r="L428" s="65" t="n"/>
      <c r="M428" s="70">
        <f>VLOOKUP(L428,'SKU Data'!A:D,4,0)</f>
        <v/>
      </c>
    </row>
    <row r="429" ht="21.75" customFormat="1" customHeight="1" s="71">
      <c r="A429" s="86" t="n"/>
      <c r="B429" s="83" t="n"/>
      <c r="C429" s="50" t="n"/>
      <c r="D429" s="50" t="n"/>
      <c r="E429" s="68">
        <f>VLOOKUP(L429,'SKU Data'!A:B,2,0)</f>
        <v/>
      </c>
      <c r="F429" s="50" t="n"/>
      <c r="G429" s="126">
        <f>VLOOKUP(L429,'SKU Data'!A:C,3,0)</f>
        <v/>
      </c>
      <c r="H429" s="126">
        <f>F429*G429</f>
        <v/>
      </c>
      <c r="I429" s="50" t="n"/>
      <c r="J429" s="68" t="n"/>
      <c r="K429" s="50" t="n"/>
      <c r="L429" s="65" t="n"/>
      <c r="M429" s="70">
        <f>VLOOKUP(L429,'SKU Data'!A:D,4,0)</f>
        <v/>
      </c>
    </row>
    <row r="430" ht="21.75" customFormat="1" customHeight="1" s="71">
      <c r="A430" s="86" t="n"/>
      <c r="B430" s="83" t="n"/>
      <c r="C430" s="50" t="n"/>
      <c r="D430" s="50" t="n"/>
      <c r="E430" s="68">
        <f>VLOOKUP(L430,'SKU Data'!A:B,2,0)</f>
        <v/>
      </c>
      <c r="F430" s="50" t="n"/>
      <c r="G430" s="126">
        <f>VLOOKUP(L430,'SKU Data'!A:C,3,0)</f>
        <v/>
      </c>
      <c r="H430" s="126">
        <f>F430*G430</f>
        <v/>
      </c>
      <c r="I430" s="50" t="n"/>
      <c r="J430" s="68" t="n"/>
      <c r="K430" s="50" t="n"/>
      <c r="L430" s="65" t="n"/>
      <c r="M430" s="70">
        <f>VLOOKUP(L430,'SKU Data'!A:D,4,0)</f>
        <v/>
      </c>
    </row>
    <row r="431" ht="21.75" customFormat="1" customHeight="1" s="71">
      <c r="A431" s="86" t="n"/>
      <c r="B431" s="83" t="n"/>
      <c r="C431" s="50" t="n"/>
      <c r="D431" s="50" t="n"/>
      <c r="E431" s="68">
        <f>VLOOKUP(L431,'SKU Data'!A:B,2,0)</f>
        <v/>
      </c>
      <c r="F431" s="50" t="n"/>
      <c r="G431" s="126">
        <f>VLOOKUP(L431,'SKU Data'!A:C,3,0)</f>
        <v/>
      </c>
      <c r="H431" s="126">
        <f>F431*G431</f>
        <v/>
      </c>
      <c r="I431" s="50" t="n"/>
      <c r="J431" s="68" t="n"/>
      <c r="K431" s="50" t="n"/>
      <c r="L431" s="65" t="n"/>
      <c r="M431" s="70">
        <f>VLOOKUP(L431,'SKU Data'!A:D,4,0)</f>
        <v/>
      </c>
    </row>
    <row r="432" ht="21.75" customFormat="1" customHeight="1" s="71">
      <c r="A432" s="86" t="n"/>
      <c r="B432" s="83" t="n"/>
      <c r="C432" s="50" t="n"/>
      <c r="D432" s="50" t="n"/>
      <c r="E432" s="68">
        <f>VLOOKUP(L432,'SKU Data'!A:B,2,0)</f>
        <v/>
      </c>
      <c r="F432" s="50" t="n"/>
      <c r="G432" s="126">
        <f>VLOOKUP(L432,'SKU Data'!A:C,3,0)</f>
        <v/>
      </c>
      <c r="H432" s="126">
        <f>F432*G432</f>
        <v/>
      </c>
      <c r="I432" s="50" t="n"/>
      <c r="J432" s="68" t="n"/>
      <c r="K432" s="50" t="n"/>
      <c r="L432" s="65" t="n"/>
      <c r="M432" s="70">
        <f>VLOOKUP(L432,'SKU Data'!A:D,4,0)</f>
        <v/>
      </c>
    </row>
    <row r="433" ht="21.75" customFormat="1" customHeight="1" s="71">
      <c r="A433" s="86" t="n"/>
      <c r="B433" s="83" t="n"/>
      <c r="C433" s="50" t="n"/>
      <c r="D433" s="50" t="n"/>
      <c r="E433" s="68">
        <f>VLOOKUP(L433,'SKU Data'!A:B,2,0)</f>
        <v/>
      </c>
      <c r="F433" s="50" t="n"/>
      <c r="G433" s="126">
        <f>VLOOKUP(L433,'SKU Data'!A:C,3,0)</f>
        <v/>
      </c>
      <c r="H433" s="126">
        <f>F433*G433</f>
        <v/>
      </c>
      <c r="I433" s="50" t="n"/>
      <c r="J433" s="68" t="n"/>
      <c r="K433" s="50" t="n"/>
      <c r="L433" s="65" t="n"/>
      <c r="M433" s="70">
        <f>VLOOKUP(L433,'SKU Data'!A:D,4,0)</f>
        <v/>
      </c>
    </row>
    <row r="434" ht="21.75" customFormat="1" customHeight="1" s="71">
      <c r="A434" s="86" t="n"/>
      <c r="B434" s="83" t="n"/>
      <c r="C434" s="50" t="n"/>
      <c r="D434" s="50" t="n"/>
      <c r="E434" s="68">
        <f>VLOOKUP(L434,'SKU Data'!A:B,2,0)</f>
        <v/>
      </c>
      <c r="F434" s="50" t="n"/>
      <c r="G434" s="126">
        <f>VLOOKUP(L434,'SKU Data'!A:C,3,0)</f>
        <v/>
      </c>
      <c r="H434" s="126">
        <f>F434*G434</f>
        <v/>
      </c>
      <c r="I434" s="50" t="n"/>
      <c r="J434" s="68" t="n"/>
      <c r="K434" s="50" t="n"/>
      <c r="L434" s="65" t="n"/>
      <c r="M434" s="70">
        <f>VLOOKUP(L434,'SKU Data'!A:D,4,0)</f>
        <v/>
      </c>
    </row>
    <row r="435" ht="21.75" customFormat="1" customHeight="1" s="71">
      <c r="A435" s="86" t="n"/>
      <c r="B435" s="83" t="n"/>
      <c r="C435" s="50" t="n"/>
      <c r="D435" s="50" t="n"/>
      <c r="E435" s="68">
        <f>VLOOKUP(L435,'SKU Data'!A:B,2,0)</f>
        <v/>
      </c>
      <c r="F435" s="50" t="n"/>
      <c r="G435" s="126">
        <f>VLOOKUP(L435,'SKU Data'!A:C,3,0)</f>
        <v/>
      </c>
      <c r="H435" s="126">
        <f>F435*G435</f>
        <v/>
      </c>
      <c r="I435" s="50" t="n"/>
      <c r="J435" s="68" t="n"/>
      <c r="K435" s="50" t="n"/>
      <c r="L435" s="65" t="n"/>
      <c r="M435" s="70">
        <f>VLOOKUP(L435,'SKU Data'!A:D,4,0)</f>
        <v/>
      </c>
    </row>
    <row r="436" ht="21.75" customFormat="1" customHeight="1" s="71">
      <c r="A436" s="86" t="n"/>
      <c r="B436" s="83" t="n"/>
      <c r="C436" s="50" t="n"/>
      <c r="D436" s="50" t="n"/>
      <c r="E436" s="68">
        <f>VLOOKUP(L436,'SKU Data'!A:B,2,0)</f>
        <v/>
      </c>
      <c r="F436" s="50" t="n"/>
      <c r="G436" s="126">
        <f>VLOOKUP(L436,'SKU Data'!A:C,3,0)</f>
        <v/>
      </c>
      <c r="H436" s="126">
        <f>F436*G436</f>
        <v/>
      </c>
      <c r="I436" s="50" t="n"/>
      <c r="J436" s="68" t="n"/>
      <c r="K436" s="50" t="n"/>
      <c r="L436" s="65" t="n"/>
      <c r="M436" s="70">
        <f>VLOOKUP(L436,'SKU Data'!A:D,4,0)</f>
        <v/>
      </c>
    </row>
    <row r="437" ht="21.75" customFormat="1" customHeight="1" s="71">
      <c r="A437" s="86" t="n"/>
      <c r="B437" s="83" t="n"/>
      <c r="C437" s="50" t="n"/>
      <c r="D437" s="50" t="n"/>
      <c r="E437" s="68">
        <f>VLOOKUP(L437,'SKU Data'!A:B,2,0)</f>
        <v/>
      </c>
      <c r="F437" s="50" t="n"/>
      <c r="G437" s="126">
        <f>VLOOKUP(L437,'SKU Data'!A:C,3,0)</f>
        <v/>
      </c>
      <c r="H437" s="126">
        <f>F437*G437</f>
        <v/>
      </c>
      <c r="I437" s="50" t="n"/>
      <c r="J437" s="68" t="n"/>
      <c r="K437" s="50" t="n"/>
      <c r="L437" s="65" t="n"/>
      <c r="M437" s="70">
        <f>VLOOKUP(L437,'SKU Data'!A:D,4,0)</f>
        <v/>
      </c>
    </row>
    <row r="438" ht="21.75" customFormat="1" customHeight="1" s="71">
      <c r="A438" s="86" t="n"/>
      <c r="B438" s="83" t="n"/>
      <c r="C438" s="50" t="n"/>
      <c r="D438" s="50" t="n"/>
      <c r="E438" s="68">
        <f>VLOOKUP(L438,'SKU Data'!A:B,2,0)</f>
        <v/>
      </c>
      <c r="F438" s="50" t="n"/>
      <c r="G438" s="126">
        <f>VLOOKUP(L438,'SKU Data'!A:C,3,0)</f>
        <v/>
      </c>
      <c r="H438" s="126">
        <f>F438*G438</f>
        <v/>
      </c>
      <c r="I438" s="50" t="n"/>
      <c r="J438" s="68" t="n"/>
      <c r="K438" s="50" t="n"/>
      <c r="L438" s="65" t="n"/>
      <c r="M438" s="70">
        <f>VLOOKUP(L438,'SKU Data'!A:D,4,0)</f>
        <v/>
      </c>
    </row>
    <row r="439" ht="21.75" customFormat="1" customHeight="1" s="71">
      <c r="A439" s="86" t="n"/>
      <c r="B439" s="83" t="n"/>
      <c r="C439" s="50" t="n"/>
      <c r="D439" s="50" t="n"/>
      <c r="E439" s="68">
        <f>VLOOKUP(L439,'SKU Data'!A:B,2,0)</f>
        <v/>
      </c>
      <c r="F439" s="50" t="n"/>
      <c r="G439" s="126">
        <f>VLOOKUP(L439,'SKU Data'!A:C,3,0)</f>
        <v/>
      </c>
      <c r="H439" s="126">
        <f>F439*G439</f>
        <v/>
      </c>
      <c r="I439" s="50" t="n"/>
      <c r="J439" s="68" t="n"/>
      <c r="K439" s="50" t="n"/>
      <c r="L439" s="65" t="n"/>
      <c r="M439" s="70">
        <f>VLOOKUP(L439,'SKU Data'!A:D,4,0)</f>
        <v/>
      </c>
    </row>
    <row r="440" ht="21.75" customFormat="1" customHeight="1" s="71">
      <c r="A440" s="86" t="n"/>
      <c r="B440" s="83" t="n"/>
      <c r="C440" s="50" t="n"/>
      <c r="D440" s="50" t="n"/>
      <c r="E440" s="68">
        <f>VLOOKUP(L440,'SKU Data'!A:B,2,0)</f>
        <v/>
      </c>
      <c r="F440" s="50" t="n"/>
      <c r="G440" s="126">
        <f>VLOOKUP(L440,'SKU Data'!A:C,3,0)</f>
        <v/>
      </c>
      <c r="H440" s="126">
        <f>F440*G440</f>
        <v/>
      </c>
      <c r="I440" s="50" t="n"/>
      <c r="J440" s="68" t="n"/>
      <c r="K440" s="50" t="n"/>
      <c r="L440" s="65" t="n"/>
      <c r="M440" s="70">
        <f>VLOOKUP(L440,'SKU Data'!A:D,4,0)</f>
        <v/>
      </c>
    </row>
    <row r="441" ht="21.75" customFormat="1" customHeight="1" s="71">
      <c r="A441" s="86" t="n"/>
      <c r="B441" s="83" t="n"/>
      <c r="C441" s="50" t="n"/>
      <c r="D441" s="50" t="n"/>
      <c r="E441" s="68">
        <f>VLOOKUP(L441,'SKU Data'!A:B,2,0)</f>
        <v/>
      </c>
      <c r="F441" s="50" t="n"/>
      <c r="G441" s="126">
        <f>VLOOKUP(L441,'SKU Data'!A:C,3,0)</f>
        <v/>
      </c>
      <c r="H441" s="126">
        <f>F441*G441</f>
        <v/>
      </c>
      <c r="I441" s="50" t="n"/>
      <c r="J441" s="68" t="n"/>
      <c r="K441" s="50" t="n"/>
      <c r="L441" s="65" t="n"/>
      <c r="M441" s="70">
        <f>VLOOKUP(L441,'SKU Data'!A:D,4,0)</f>
        <v/>
      </c>
    </row>
    <row r="442" ht="21.75" customFormat="1" customHeight="1" s="71">
      <c r="A442" s="86" t="n"/>
      <c r="B442" s="83" t="n"/>
      <c r="C442" s="50" t="n"/>
      <c r="D442" s="50" t="n"/>
      <c r="E442" s="68">
        <f>VLOOKUP(L442,'SKU Data'!A:B,2,0)</f>
        <v/>
      </c>
      <c r="F442" s="50" t="n"/>
      <c r="G442" s="126">
        <f>VLOOKUP(L442,'SKU Data'!A:C,3,0)</f>
        <v/>
      </c>
      <c r="H442" s="126">
        <f>F442*G442</f>
        <v/>
      </c>
      <c r="I442" s="50" t="n"/>
      <c r="J442" s="68" t="n"/>
      <c r="K442" s="50" t="n"/>
      <c r="L442" s="65" t="n"/>
      <c r="M442" s="70">
        <f>VLOOKUP(L442,'SKU Data'!A:D,4,0)</f>
        <v/>
      </c>
    </row>
    <row r="443" ht="21.75" customFormat="1" customHeight="1" s="71">
      <c r="A443" s="86" t="n"/>
      <c r="B443" s="83" t="n"/>
      <c r="C443" s="50" t="n"/>
      <c r="D443" s="50" t="n"/>
      <c r="E443" s="68">
        <f>VLOOKUP(L443,'SKU Data'!A:B,2,0)</f>
        <v/>
      </c>
      <c r="F443" s="50" t="n"/>
      <c r="G443" s="126">
        <f>VLOOKUP(L443,'SKU Data'!A:C,3,0)</f>
        <v/>
      </c>
      <c r="H443" s="126">
        <f>F443*G443</f>
        <v/>
      </c>
      <c r="I443" s="50" t="n"/>
      <c r="J443" s="68" t="n"/>
      <c r="K443" s="50" t="n"/>
      <c r="L443" s="65" t="n"/>
      <c r="M443" s="70">
        <f>VLOOKUP(L443,'SKU Data'!A:D,4,0)</f>
        <v/>
      </c>
    </row>
    <row r="444" ht="21.75" customFormat="1" customHeight="1" s="71">
      <c r="A444" s="86" t="n"/>
      <c r="B444" s="83" t="n"/>
      <c r="C444" s="50" t="n"/>
      <c r="D444" s="50" t="n"/>
      <c r="E444" s="68">
        <f>VLOOKUP(L444,'SKU Data'!A:B,2,0)</f>
        <v/>
      </c>
      <c r="F444" s="50" t="n"/>
      <c r="G444" s="126">
        <f>VLOOKUP(L444,'SKU Data'!A:C,3,0)</f>
        <v/>
      </c>
      <c r="H444" s="126">
        <f>F444*G444</f>
        <v/>
      </c>
      <c r="I444" s="50" t="n"/>
      <c r="J444" s="68" t="n"/>
      <c r="K444" s="50" t="n"/>
      <c r="L444" s="65" t="n"/>
      <c r="M444" s="70">
        <f>VLOOKUP(L444,'SKU Data'!A:D,4,0)</f>
        <v/>
      </c>
    </row>
    <row r="445" ht="21.75" customFormat="1" customHeight="1" s="71">
      <c r="A445" s="86" t="n"/>
      <c r="B445" s="83" t="n"/>
      <c r="C445" s="50" t="n"/>
      <c r="D445" s="50" t="n"/>
      <c r="E445" s="68">
        <f>VLOOKUP(L445,'SKU Data'!A:B,2,0)</f>
        <v/>
      </c>
      <c r="F445" s="50" t="n"/>
      <c r="G445" s="126">
        <f>VLOOKUP(L445,'SKU Data'!A:C,3,0)</f>
        <v/>
      </c>
      <c r="H445" s="126">
        <f>F445*G445</f>
        <v/>
      </c>
      <c r="I445" s="50" t="n"/>
      <c r="J445" s="68" t="n"/>
      <c r="K445" s="50" t="n"/>
      <c r="L445" s="65" t="n"/>
      <c r="M445" s="70">
        <f>VLOOKUP(L445,'SKU Data'!A:D,4,0)</f>
        <v/>
      </c>
    </row>
    <row r="446" ht="21.75" customFormat="1" customHeight="1" s="71">
      <c r="A446" s="86" t="n"/>
      <c r="B446" s="83" t="n"/>
      <c r="C446" s="50" t="n"/>
      <c r="D446" s="50" t="n"/>
      <c r="E446" s="68">
        <f>VLOOKUP(L446,'SKU Data'!A:B,2,0)</f>
        <v/>
      </c>
      <c r="F446" s="50" t="n"/>
      <c r="G446" s="126">
        <f>VLOOKUP(L446,'SKU Data'!A:C,3,0)</f>
        <v/>
      </c>
      <c r="H446" s="126">
        <f>F446*G446</f>
        <v/>
      </c>
      <c r="I446" s="50" t="n"/>
      <c r="J446" s="68" t="n"/>
      <c r="K446" s="50" t="n"/>
      <c r="L446" s="65" t="n"/>
      <c r="M446" s="70">
        <f>VLOOKUP(L446,'SKU Data'!A:D,4,0)</f>
        <v/>
      </c>
    </row>
    <row r="447" ht="21.75" customFormat="1" customHeight="1" s="71">
      <c r="A447" s="86" t="n"/>
      <c r="B447" s="83" t="n"/>
      <c r="C447" s="50" t="n"/>
      <c r="D447" s="50" t="n"/>
      <c r="E447" s="68">
        <f>VLOOKUP(L447,'SKU Data'!A:B,2,0)</f>
        <v/>
      </c>
      <c r="F447" s="50" t="n"/>
      <c r="G447" s="126">
        <f>VLOOKUP(L447,'SKU Data'!A:C,3,0)</f>
        <v/>
      </c>
      <c r="H447" s="126">
        <f>F447*G447</f>
        <v/>
      </c>
      <c r="I447" s="50" t="n"/>
      <c r="J447" s="68" t="n"/>
      <c r="K447" s="50" t="n"/>
      <c r="L447" s="65" t="n"/>
      <c r="M447" s="70">
        <f>VLOOKUP(L447,'SKU Data'!A:D,4,0)</f>
        <v/>
      </c>
    </row>
    <row r="448" ht="21.75" customFormat="1" customHeight="1" s="71">
      <c r="A448" s="86" t="n"/>
      <c r="B448" s="83" t="n"/>
      <c r="C448" s="50" t="n"/>
      <c r="D448" s="50" t="n"/>
      <c r="E448" s="68">
        <f>VLOOKUP(L448,'SKU Data'!A:B,2,0)</f>
        <v/>
      </c>
      <c r="F448" s="50" t="n"/>
      <c r="G448" s="126">
        <f>VLOOKUP(L448,'SKU Data'!A:C,3,0)</f>
        <v/>
      </c>
      <c r="H448" s="126">
        <f>F448*G448</f>
        <v/>
      </c>
      <c r="I448" s="50" t="n"/>
      <c r="J448" s="68" t="n"/>
      <c r="K448" s="50" t="n"/>
      <c r="L448" s="65" t="n"/>
      <c r="M448" s="70">
        <f>VLOOKUP(L448,'SKU Data'!A:D,4,0)</f>
        <v/>
      </c>
    </row>
    <row r="449" ht="21.75" customFormat="1" customHeight="1" s="71">
      <c r="A449" s="86" t="n"/>
      <c r="B449" s="83" t="n"/>
      <c r="C449" s="50" t="n"/>
      <c r="D449" s="50" t="n"/>
      <c r="E449" s="68">
        <f>VLOOKUP(L449,'SKU Data'!A:B,2,0)</f>
        <v/>
      </c>
      <c r="F449" s="50" t="n"/>
      <c r="G449" s="126">
        <f>VLOOKUP(L449,'SKU Data'!A:C,3,0)</f>
        <v/>
      </c>
      <c r="H449" s="126">
        <f>F449*G449</f>
        <v/>
      </c>
      <c r="I449" s="50" t="n"/>
      <c r="J449" s="68" t="n"/>
      <c r="K449" s="50" t="n"/>
      <c r="L449" s="65" t="n"/>
      <c r="M449" s="70">
        <f>VLOOKUP(L449,'SKU Data'!A:D,4,0)</f>
        <v/>
      </c>
    </row>
    <row r="450" ht="21.75" customFormat="1" customHeight="1" s="71">
      <c r="A450" s="86" t="n"/>
      <c r="B450" s="83" t="n"/>
      <c r="C450" s="50" t="n"/>
      <c r="D450" s="50" t="n"/>
      <c r="E450" s="68">
        <f>VLOOKUP(L450,'SKU Data'!A:B,2,0)</f>
        <v/>
      </c>
      <c r="F450" s="50" t="n"/>
      <c r="G450" s="126">
        <f>VLOOKUP(L450,'SKU Data'!A:C,3,0)</f>
        <v/>
      </c>
      <c r="H450" s="126">
        <f>F450*G450</f>
        <v/>
      </c>
      <c r="I450" s="50" t="n"/>
      <c r="J450" s="68" t="n"/>
      <c r="K450" s="50" t="n"/>
      <c r="L450" s="65" t="n"/>
      <c r="M450" s="70">
        <f>VLOOKUP(L450,'SKU Data'!A:D,4,0)</f>
        <v/>
      </c>
    </row>
    <row r="451" ht="21.75" customFormat="1" customHeight="1" s="71">
      <c r="A451" s="86" t="n"/>
      <c r="B451" s="83" t="n"/>
      <c r="C451" s="50" t="n"/>
      <c r="D451" s="50" t="n"/>
      <c r="E451" s="68">
        <f>VLOOKUP(L451,'SKU Data'!A:B,2,0)</f>
        <v/>
      </c>
      <c r="F451" s="50" t="n"/>
      <c r="G451" s="126">
        <f>VLOOKUP(L451,'SKU Data'!A:C,3,0)</f>
        <v/>
      </c>
      <c r="H451" s="126">
        <f>F451*G451</f>
        <v/>
      </c>
      <c r="I451" s="50" t="n"/>
      <c r="J451" s="68" t="n"/>
      <c r="K451" s="50" t="n"/>
      <c r="L451" s="65" t="n"/>
      <c r="M451" s="70">
        <f>VLOOKUP(L451,'SKU Data'!A:D,4,0)</f>
        <v/>
      </c>
    </row>
    <row r="452" ht="21.75" customFormat="1" customHeight="1" s="71">
      <c r="A452" s="86" t="n"/>
      <c r="B452" s="83" t="n"/>
      <c r="C452" s="50" t="n"/>
      <c r="D452" s="50" t="n"/>
      <c r="E452" s="68">
        <f>VLOOKUP(L452,'SKU Data'!A:B,2,0)</f>
        <v/>
      </c>
      <c r="F452" s="50" t="n"/>
      <c r="G452" s="126">
        <f>VLOOKUP(L452,'SKU Data'!A:C,3,0)</f>
        <v/>
      </c>
      <c r="H452" s="126">
        <f>F452*G452</f>
        <v/>
      </c>
      <c r="I452" s="50" t="n"/>
      <c r="J452" s="68" t="n"/>
      <c r="K452" s="50" t="n"/>
      <c r="L452" s="65" t="n"/>
      <c r="M452" s="70">
        <f>VLOOKUP(L452,'SKU Data'!A:D,4,0)</f>
        <v/>
      </c>
    </row>
    <row r="453" ht="21.75" customFormat="1" customHeight="1" s="71">
      <c r="A453" s="86" t="n"/>
      <c r="B453" s="83" t="n"/>
      <c r="C453" s="50" t="n"/>
      <c r="D453" s="50" t="n"/>
      <c r="E453" s="68">
        <f>VLOOKUP(L453,'SKU Data'!A:B,2,0)</f>
        <v/>
      </c>
      <c r="F453" s="50" t="n"/>
      <c r="G453" s="126">
        <f>VLOOKUP(L453,'SKU Data'!A:C,3,0)</f>
        <v/>
      </c>
      <c r="H453" s="126">
        <f>F453*G453</f>
        <v/>
      </c>
      <c r="I453" s="50" t="n"/>
      <c r="J453" s="68" t="n"/>
      <c r="K453" s="50" t="n"/>
      <c r="L453" s="65" t="n"/>
      <c r="M453" s="70">
        <f>VLOOKUP(L453,'SKU Data'!A:D,4,0)</f>
        <v/>
      </c>
    </row>
    <row r="454" ht="21.75" customFormat="1" customHeight="1" s="71">
      <c r="A454" s="86" t="n"/>
      <c r="B454" s="83" t="n"/>
      <c r="C454" s="50" t="n"/>
      <c r="D454" s="50" t="n"/>
      <c r="E454" s="68">
        <f>VLOOKUP(L454,'SKU Data'!A:B,2,0)</f>
        <v/>
      </c>
      <c r="F454" s="50" t="n"/>
      <c r="G454" s="126">
        <f>VLOOKUP(L454,'SKU Data'!A:C,3,0)</f>
        <v/>
      </c>
      <c r="H454" s="126">
        <f>F454*G454</f>
        <v/>
      </c>
      <c r="I454" s="50" t="n"/>
      <c r="J454" s="68" t="n"/>
      <c r="K454" s="50" t="n"/>
      <c r="L454" s="65" t="n"/>
      <c r="M454" s="70">
        <f>VLOOKUP(L454,'SKU Data'!A:D,4,0)</f>
        <v/>
      </c>
    </row>
    <row r="455" ht="21.75" customFormat="1" customHeight="1" s="71">
      <c r="A455" s="86" t="n"/>
      <c r="B455" s="83" t="n"/>
      <c r="C455" s="50" t="n"/>
      <c r="D455" s="50" t="n"/>
      <c r="E455" s="68">
        <f>VLOOKUP(L455,'SKU Data'!A:B,2,0)</f>
        <v/>
      </c>
      <c r="F455" s="50" t="n"/>
      <c r="G455" s="126">
        <f>VLOOKUP(L455,'SKU Data'!A:C,3,0)</f>
        <v/>
      </c>
      <c r="H455" s="126">
        <f>F455*G455</f>
        <v/>
      </c>
      <c r="I455" s="50" t="n"/>
      <c r="J455" s="68" t="n"/>
      <c r="K455" s="50" t="n"/>
      <c r="L455" s="65" t="n"/>
      <c r="M455" s="70">
        <f>VLOOKUP(L455,'SKU Data'!A:D,4,0)</f>
        <v/>
      </c>
    </row>
    <row r="456" ht="21.75" customFormat="1" customHeight="1" s="71">
      <c r="A456" s="86" t="n"/>
      <c r="B456" s="83" t="n"/>
      <c r="C456" s="50" t="n"/>
      <c r="D456" s="50" t="n"/>
      <c r="E456" s="68">
        <f>VLOOKUP(L456,'SKU Data'!A:B,2,0)</f>
        <v/>
      </c>
      <c r="F456" s="50" t="n"/>
      <c r="G456" s="126">
        <f>VLOOKUP(L456,'SKU Data'!A:C,3,0)</f>
        <v/>
      </c>
      <c r="H456" s="126">
        <f>F456*G456</f>
        <v/>
      </c>
      <c r="I456" s="50" t="n"/>
      <c r="J456" s="68" t="n"/>
      <c r="K456" s="50" t="n"/>
      <c r="L456" s="65" t="n"/>
      <c r="M456" s="70">
        <f>VLOOKUP(L456,'SKU Data'!A:D,4,0)</f>
        <v/>
      </c>
    </row>
    <row r="457" ht="21.75" customFormat="1" customHeight="1" s="71">
      <c r="A457" s="86" t="n"/>
      <c r="B457" s="83" t="n"/>
      <c r="C457" s="50" t="n"/>
      <c r="D457" s="50" t="n"/>
      <c r="E457" s="68">
        <f>VLOOKUP(L457,'SKU Data'!A:B,2,0)</f>
        <v/>
      </c>
      <c r="F457" s="50" t="n"/>
      <c r="G457" s="126">
        <f>VLOOKUP(L457,'SKU Data'!A:C,3,0)</f>
        <v/>
      </c>
      <c r="H457" s="126">
        <f>F457*G457</f>
        <v/>
      </c>
      <c r="I457" s="50" t="n"/>
      <c r="J457" s="68" t="n"/>
      <c r="K457" s="50" t="n"/>
      <c r="L457" s="65" t="n"/>
      <c r="M457" s="70">
        <f>VLOOKUP(L457,'SKU Data'!A:D,4,0)</f>
        <v/>
      </c>
    </row>
    <row r="458" ht="21.75" customFormat="1" customHeight="1" s="71">
      <c r="A458" s="86" t="n"/>
      <c r="B458" s="83" t="n"/>
      <c r="C458" s="50" t="n"/>
      <c r="D458" s="50" t="n"/>
      <c r="E458" s="68">
        <f>VLOOKUP(L458,'SKU Data'!A:B,2,0)</f>
        <v/>
      </c>
      <c r="F458" s="50" t="n"/>
      <c r="G458" s="126">
        <f>VLOOKUP(L458,'SKU Data'!A:C,3,0)</f>
        <v/>
      </c>
      <c r="H458" s="126">
        <f>F458*G458</f>
        <v/>
      </c>
      <c r="I458" s="50" t="n"/>
      <c r="J458" s="68" t="n"/>
      <c r="K458" s="50" t="n"/>
      <c r="L458" s="65" t="n"/>
      <c r="M458" s="70">
        <f>VLOOKUP(L458,'SKU Data'!A:D,4,0)</f>
        <v/>
      </c>
    </row>
    <row r="459" ht="21.75" customFormat="1" customHeight="1" s="71">
      <c r="A459" s="86" t="n"/>
      <c r="B459" s="83" t="n"/>
      <c r="C459" s="50" t="n"/>
      <c r="D459" s="50" t="n"/>
      <c r="E459" s="68">
        <f>VLOOKUP(L459,'SKU Data'!A:B,2,0)</f>
        <v/>
      </c>
      <c r="F459" s="50" t="n"/>
      <c r="G459" s="126">
        <f>VLOOKUP(L459,'SKU Data'!A:C,3,0)</f>
        <v/>
      </c>
      <c r="H459" s="126">
        <f>F459*G459</f>
        <v/>
      </c>
      <c r="I459" s="50" t="n"/>
      <c r="J459" s="68" t="n"/>
      <c r="K459" s="50" t="n"/>
      <c r="L459" s="65" t="n"/>
      <c r="M459" s="70">
        <f>VLOOKUP(L459,'SKU Data'!A:D,4,0)</f>
        <v/>
      </c>
    </row>
    <row r="460" ht="21.75" customFormat="1" customHeight="1" s="71">
      <c r="A460" s="86" t="n"/>
      <c r="B460" s="83" t="n"/>
      <c r="C460" s="50" t="n"/>
      <c r="D460" s="50" t="n"/>
      <c r="E460" s="68">
        <f>VLOOKUP(L460,'SKU Data'!A:B,2,0)</f>
        <v/>
      </c>
      <c r="F460" s="50" t="n"/>
      <c r="G460" s="126">
        <f>VLOOKUP(L460,'SKU Data'!A:C,3,0)</f>
        <v/>
      </c>
      <c r="H460" s="126">
        <f>F460*G460</f>
        <v/>
      </c>
      <c r="I460" s="50" t="n"/>
      <c r="J460" s="68" t="n"/>
      <c r="K460" s="50" t="n"/>
      <c r="L460" s="65" t="n"/>
      <c r="M460" s="70">
        <f>VLOOKUP(L460,'SKU Data'!A:D,4,0)</f>
        <v/>
      </c>
    </row>
    <row r="461" ht="21.75" customFormat="1" customHeight="1" s="71">
      <c r="A461" s="86" t="n"/>
      <c r="B461" s="83" t="n"/>
      <c r="C461" s="50" t="n"/>
      <c r="D461" s="50" t="n"/>
      <c r="E461" s="68">
        <f>VLOOKUP(L461,'SKU Data'!A:B,2,0)</f>
        <v/>
      </c>
      <c r="F461" s="50" t="n"/>
      <c r="G461" s="126">
        <f>VLOOKUP(L461,'SKU Data'!A:C,3,0)</f>
        <v/>
      </c>
      <c r="H461" s="126">
        <f>F461*G461</f>
        <v/>
      </c>
      <c r="I461" s="50" t="n"/>
      <c r="J461" s="68" t="n"/>
      <c r="K461" s="50" t="n"/>
      <c r="L461" s="65" t="n"/>
      <c r="M461" s="70">
        <f>VLOOKUP(L461,'SKU Data'!A:D,4,0)</f>
        <v/>
      </c>
    </row>
    <row r="462" ht="21.75" customFormat="1" customHeight="1" s="71">
      <c r="A462" s="86" t="n"/>
      <c r="B462" s="83" t="n"/>
      <c r="C462" s="50" t="n"/>
      <c r="D462" s="50" t="n"/>
      <c r="E462" s="68">
        <f>VLOOKUP(L462,'SKU Data'!A:B,2,0)</f>
        <v/>
      </c>
      <c r="F462" s="50" t="n"/>
      <c r="G462" s="126">
        <f>VLOOKUP(L462,'SKU Data'!A:C,3,0)</f>
        <v/>
      </c>
      <c r="H462" s="126">
        <f>F462*G462</f>
        <v/>
      </c>
      <c r="I462" s="50" t="n"/>
      <c r="J462" s="68" t="n"/>
      <c r="K462" s="50" t="n"/>
      <c r="L462" s="65" t="n"/>
      <c r="M462" s="70">
        <f>VLOOKUP(L462,'SKU Data'!A:D,4,0)</f>
        <v/>
      </c>
    </row>
    <row r="463" ht="21.75" customFormat="1" customHeight="1" s="71">
      <c r="A463" s="86" t="n"/>
      <c r="B463" s="83" t="n"/>
      <c r="C463" s="50" t="n"/>
      <c r="D463" s="50" t="n"/>
      <c r="E463" s="68">
        <f>VLOOKUP(L463,'SKU Data'!A:B,2,0)</f>
        <v/>
      </c>
      <c r="F463" s="50" t="n"/>
      <c r="G463" s="126">
        <f>VLOOKUP(L463,'SKU Data'!A:C,3,0)</f>
        <v/>
      </c>
      <c r="H463" s="126">
        <f>F463*G463</f>
        <v/>
      </c>
      <c r="I463" s="50" t="n"/>
      <c r="J463" s="68" t="n"/>
      <c r="K463" s="50" t="n"/>
      <c r="L463" s="65" t="n"/>
      <c r="M463" s="70">
        <f>VLOOKUP(L463,'SKU Data'!A:D,4,0)</f>
        <v/>
      </c>
    </row>
    <row r="464" ht="21.75" customFormat="1" customHeight="1" s="71">
      <c r="A464" s="86" t="n"/>
      <c r="B464" s="83" t="n"/>
      <c r="C464" s="50" t="n"/>
      <c r="D464" s="50" t="n"/>
      <c r="E464" s="68">
        <f>VLOOKUP(L464,'SKU Data'!A:B,2,0)</f>
        <v/>
      </c>
      <c r="F464" s="50" t="n"/>
      <c r="G464" s="126">
        <f>VLOOKUP(L464,'SKU Data'!A:C,3,0)</f>
        <v/>
      </c>
      <c r="H464" s="126">
        <f>F464*G464</f>
        <v/>
      </c>
      <c r="I464" s="50" t="n"/>
      <c r="J464" s="68" t="n"/>
      <c r="K464" s="50" t="n"/>
      <c r="L464" s="65" t="n"/>
      <c r="M464" s="70">
        <f>VLOOKUP(L464,'SKU Data'!A:D,4,0)</f>
        <v/>
      </c>
    </row>
    <row r="465" ht="21.75" customFormat="1" customHeight="1" s="71">
      <c r="A465" s="86" t="n"/>
      <c r="B465" s="83" t="n"/>
      <c r="C465" s="50" t="n"/>
      <c r="D465" s="50" t="n"/>
      <c r="E465" s="68">
        <f>VLOOKUP(L465,'SKU Data'!A:B,2,0)</f>
        <v/>
      </c>
      <c r="F465" s="50" t="n"/>
      <c r="G465" s="126">
        <f>VLOOKUP(L465,'SKU Data'!A:C,3,0)</f>
        <v/>
      </c>
      <c r="H465" s="126">
        <f>F465*G465</f>
        <v/>
      </c>
      <c r="I465" s="50" t="n"/>
      <c r="J465" s="68" t="n"/>
      <c r="K465" s="50" t="n"/>
      <c r="L465" s="65" t="n"/>
      <c r="M465" s="70">
        <f>VLOOKUP(L465,'SKU Data'!A:D,4,0)</f>
        <v/>
      </c>
    </row>
    <row r="466" ht="21.75" customFormat="1" customHeight="1" s="71">
      <c r="A466" s="86" t="n"/>
      <c r="B466" s="83" t="n"/>
      <c r="C466" s="50" t="n"/>
      <c r="D466" s="50" t="n"/>
      <c r="E466" s="68">
        <f>VLOOKUP(L466,'SKU Data'!A:B,2,0)</f>
        <v/>
      </c>
      <c r="F466" s="50" t="n"/>
      <c r="G466" s="126">
        <f>VLOOKUP(L466,'SKU Data'!A:C,3,0)</f>
        <v/>
      </c>
      <c r="H466" s="126">
        <f>F466*G466</f>
        <v/>
      </c>
      <c r="I466" s="50" t="n"/>
      <c r="J466" s="68" t="n"/>
      <c r="K466" s="50" t="n"/>
      <c r="L466" s="65" t="n"/>
      <c r="M466" s="70">
        <f>VLOOKUP(L466,'SKU Data'!A:D,4,0)</f>
        <v/>
      </c>
    </row>
    <row r="467" ht="21.75" customFormat="1" customHeight="1" s="71">
      <c r="A467" s="86" t="n"/>
      <c r="B467" s="83" t="n"/>
      <c r="C467" s="50" t="n"/>
      <c r="D467" s="50" t="n"/>
      <c r="E467" s="68">
        <f>VLOOKUP(L467,'SKU Data'!A:B,2,0)</f>
        <v/>
      </c>
      <c r="F467" s="50" t="n"/>
      <c r="G467" s="126">
        <f>VLOOKUP(L467,'SKU Data'!A:C,3,0)</f>
        <v/>
      </c>
      <c r="H467" s="126">
        <f>F467*G467</f>
        <v/>
      </c>
      <c r="I467" s="50" t="n"/>
      <c r="J467" s="68" t="n"/>
      <c r="K467" s="50" t="n"/>
      <c r="L467" s="65" t="n"/>
      <c r="M467" s="70">
        <f>VLOOKUP(L467,'SKU Data'!A:D,4,0)</f>
        <v/>
      </c>
    </row>
    <row r="468" ht="21.75" customFormat="1" customHeight="1" s="71">
      <c r="A468" s="86" t="n"/>
      <c r="B468" s="83" t="n"/>
      <c r="C468" s="50" t="n"/>
      <c r="D468" s="50" t="n"/>
      <c r="E468" s="68">
        <f>VLOOKUP(L468,'SKU Data'!A:B,2,0)</f>
        <v/>
      </c>
      <c r="F468" s="50" t="n"/>
      <c r="G468" s="126">
        <f>VLOOKUP(L468,'SKU Data'!A:C,3,0)</f>
        <v/>
      </c>
      <c r="H468" s="126">
        <f>F468*G468</f>
        <v/>
      </c>
      <c r="I468" s="50" t="n"/>
      <c r="J468" s="68" t="n"/>
      <c r="K468" s="50" t="n"/>
      <c r="L468" s="65" t="n"/>
      <c r="M468" s="70">
        <f>VLOOKUP(L468,'SKU Data'!A:D,4,0)</f>
        <v/>
      </c>
    </row>
    <row r="469" ht="21.75" customFormat="1" customHeight="1" s="71">
      <c r="A469" s="86" t="n"/>
      <c r="B469" s="83" t="n"/>
      <c r="C469" s="50" t="n"/>
      <c r="D469" s="50" t="n"/>
      <c r="E469" s="68">
        <f>VLOOKUP(L469,'SKU Data'!A:B,2,0)</f>
        <v/>
      </c>
      <c r="F469" s="50" t="n"/>
      <c r="G469" s="126">
        <f>VLOOKUP(L469,'SKU Data'!A:C,3,0)</f>
        <v/>
      </c>
      <c r="H469" s="126">
        <f>F469*G469</f>
        <v/>
      </c>
      <c r="I469" s="50" t="n"/>
      <c r="J469" s="68" t="n"/>
      <c r="K469" s="50" t="n"/>
      <c r="L469" s="65" t="n"/>
      <c r="M469" s="70">
        <f>VLOOKUP(L469,'SKU Data'!A:D,4,0)</f>
        <v/>
      </c>
    </row>
    <row r="470" ht="21.75" customFormat="1" customHeight="1" s="71">
      <c r="A470" s="86" t="n"/>
      <c r="B470" s="83" t="n"/>
      <c r="C470" s="50" t="n"/>
      <c r="D470" s="50" t="n"/>
      <c r="E470" s="68">
        <f>VLOOKUP(L470,'SKU Data'!A:B,2,0)</f>
        <v/>
      </c>
      <c r="F470" s="50" t="n"/>
      <c r="G470" s="126">
        <f>VLOOKUP(L470,'SKU Data'!A:C,3,0)</f>
        <v/>
      </c>
      <c r="H470" s="126">
        <f>F470*G470</f>
        <v/>
      </c>
      <c r="I470" s="50" t="n"/>
      <c r="J470" s="68" t="n"/>
      <c r="K470" s="50" t="n"/>
      <c r="L470" s="65" t="n"/>
      <c r="M470" s="70">
        <f>VLOOKUP(L470,'SKU Data'!A:D,4,0)</f>
        <v/>
      </c>
    </row>
    <row r="471" ht="21.75" customFormat="1" customHeight="1" s="71">
      <c r="A471" s="86" t="n"/>
      <c r="B471" s="83" t="n"/>
      <c r="C471" s="50" t="n"/>
      <c r="D471" s="50" t="n"/>
      <c r="E471" s="68">
        <f>VLOOKUP(L471,'SKU Data'!A:B,2,0)</f>
        <v/>
      </c>
      <c r="F471" s="50" t="n"/>
      <c r="G471" s="126">
        <f>VLOOKUP(L471,'SKU Data'!A:C,3,0)</f>
        <v/>
      </c>
      <c r="H471" s="126">
        <f>F471*G471</f>
        <v/>
      </c>
      <c r="I471" s="50" t="n"/>
      <c r="J471" s="68" t="n"/>
      <c r="K471" s="50" t="n"/>
      <c r="L471" s="65" t="n"/>
      <c r="M471" s="70">
        <f>VLOOKUP(L471,'SKU Data'!A:D,4,0)</f>
        <v/>
      </c>
    </row>
    <row r="472" ht="21.75" customFormat="1" customHeight="1" s="71">
      <c r="A472" s="86" t="n"/>
      <c r="B472" s="83" t="n"/>
      <c r="C472" s="50" t="n"/>
      <c r="D472" s="50" t="n"/>
      <c r="E472" s="68">
        <f>VLOOKUP(L472,'SKU Data'!A:B,2,0)</f>
        <v/>
      </c>
      <c r="F472" s="50" t="n"/>
      <c r="G472" s="126">
        <f>VLOOKUP(L472,'SKU Data'!A:C,3,0)</f>
        <v/>
      </c>
      <c r="H472" s="126">
        <f>F472*G472</f>
        <v/>
      </c>
      <c r="I472" s="50" t="n"/>
      <c r="J472" s="68" t="n"/>
      <c r="K472" s="50" t="n"/>
      <c r="L472" s="65" t="n"/>
      <c r="M472" s="70">
        <f>VLOOKUP(L472,'SKU Data'!A:D,4,0)</f>
        <v/>
      </c>
    </row>
    <row r="473" ht="21.75" customFormat="1" customHeight="1" s="71">
      <c r="A473" s="86" t="n"/>
      <c r="B473" s="83" t="n"/>
      <c r="C473" s="50" t="n"/>
      <c r="D473" s="50" t="n"/>
      <c r="E473" s="68">
        <f>VLOOKUP(L473,'SKU Data'!A:B,2,0)</f>
        <v/>
      </c>
      <c r="F473" s="50" t="n"/>
      <c r="G473" s="126">
        <f>VLOOKUP(L473,'SKU Data'!A:C,3,0)</f>
        <v/>
      </c>
      <c r="H473" s="126">
        <f>F473*G473</f>
        <v/>
      </c>
      <c r="I473" s="50" t="n"/>
      <c r="J473" s="68" t="n"/>
      <c r="K473" s="50" t="n"/>
      <c r="L473" s="65" t="n"/>
      <c r="M473" s="70">
        <f>VLOOKUP(L473,'SKU Data'!A:D,4,0)</f>
        <v/>
      </c>
    </row>
    <row r="474" ht="21.75" customFormat="1" customHeight="1" s="71">
      <c r="A474" s="86" t="n"/>
      <c r="B474" s="83" t="n"/>
      <c r="C474" s="50" t="n"/>
      <c r="D474" s="50" t="n"/>
      <c r="E474" s="68">
        <f>VLOOKUP(L474,'SKU Data'!A:B,2,0)</f>
        <v/>
      </c>
      <c r="F474" s="50" t="n"/>
      <c r="G474" s="126">
        <f>VLOOKUP(L474,'SKU Data'!A:C,3,0)</f>
        <v/>
      </c>
      <c r="H474" s="126">
        <f>F474*G474</f>
        <v/>
      </c>
      <c r="I474" s="50" t="n"/>
      <c r="J474" s="68" t="n"/>
      <c r="K474" s="50" t="n"/>
      <c r="L474" s="65" t="n"/>
      <c r="M474" s="70">
        <f>VLOOKUP(L474,'SKU Data'!A:D,4,0)</f>
        <v/>
      </c>
    </row>
    <row r="475" ht="21.75" customFormat="1" customHeight="1" s="71">
      <c r="A475" s="86" t="n"/>
      <c r="B475" s="83" t="n"/>
      <c r="C475" s="50" t="n"/>
      <c r="D475" s="50" t="n"/>
      <c r="E475" s="68">
        <f>VLOOKUP(L475,'SKU Data'!A:B,2,0)</f>
        <v/>
      </c>
      <c r="F475" s="50" t="n"/>
      <c r="G475" s="126">
        <f>VLOOKUP(L475,'SKU Data'!A:C,3,0)</f>
        <v/>
      </c>
      <c r="H475" s="126">
        <f>F475*G475</f>
        <v/>
      </c>
      <c r="I475" s="50" t="n"/>
      <c r="J475" s="68" t="n"/>
      <c r="K475" s="50" t="n"/>
      <c r="L475" s="65" t="n"/>
      <c r="M475" s="70">
        <f>VLOOKUP(L475,'SKU Data'!A:D,4,0)</f>
        <v/>
      </c>
    </row>
    <row r="476" ht="21.75" customFormat="1" customHeight="1" s="71">
      <c r="A476" s="86" t="n"/>
      <c r="B476" s="83" t="n"/>
      <c r="C476" s="50" t="n"/>
      <c r="D476" s="50" t="n"/>
      <c r="E476" s="68">
        <f>VLOOKUP(L476,'SKU Data'!A:B,2,0)</f>
        <v/>
      </c>
      <c r="F476" s="50" t="n"/>
      <c r="G476" s="126">
        <f>VLOOKUP(L476,'SKU Data'!A:C,3,0)</f>
        <v/>
      </c>
      <c r="H476" s="126">
        <f>F476*G476</f>
        <v/>
      </c>
      <c r="I476" s="50" t="n"/>
      <c r="J476" s="68" t="n"/>
      <c r="K476" s="50" t="n"/>
      <c r="L476" s="65" t="n"/>
      <c r="M476" s="70">
        <f>VLOOKUP(L476,'SKU Data'!A:D,4,0)</f>
        <v/>
      </c>
    </row>
    <row r="477" ht="21.75" customFormat="1" customHeight="1" s="71">
      <c r="A477" s="86" t="n"/>
      <c r="B477" s="83" t="n"/>
      <c r="C477" s="50" t="n"/>
      <c r="D477" s="50" t="n"/>
      <c r="E477" s="68">
        <f>VLOOKUP(L477,'SKU Data'!A:B,2,0)</f>
        <v/>
      </c>
      <c r="F477" s="50" t="n"/>
      <c r="G477" s="126">
        <f>VLOOKUP(L477,'SKU Data'!A:C,3,0)</f>
        <v/>
      </c>
      <c r="H477" s="126">
        <f>F477*G477</f>
        <v/>
      </c>
      <c r="I477" s="50" t="n"/>
      <c r="J477" s="68" t="n"/>
      <c r="K477" s="50" t="n"/>
      <c r="L477" s="65" t="n"/>
      <c r="M477" s="70">
        <f>VLOOKUP(L477,'SKU Data'!A:D,4,0)</f>
        <v/>
      </c>
    </row>
    <row r="478" ht="21.75" customFormat="1" customHeight="1" s="71">
      <c r="A478" s="86" t="n"/>
      <c r="B478" s="83" t="n"/>
      <c r="C478" s="50" t="n"/>
      <c r="D478" s="50" t="n"/>
      <c r="E478" s="68">
        <f>VLOOKUP(L478,'SKU Data'!A:B,2,0)</f>
        <v/>
      </c>
      <c r="F478" s="50" t="n"/>
      <c r="G478" s="126">
        <f>VLOOKUP(L478,'SKU Data'!A:C,3,0)</f>
        <v/>
      </c>
      <c r="H478" s="126">
        <f>F478*G478</f>
        <v/>
      </c>
      <c r="I478" s="50" t="n"/>
      <c r="J478" s="68" t="n"/>
      <c r="K478" s="50" t="n"/>
      <c r="L478" s="65" t="n"/>
      <c r="M478" s="70">
        <f>VLOOKUP(L478,'SKU Data'!A:D,4,0)</f>
        <v/>
      </c>
    </row>
    <row r="479" ht="21.75" customFormat="1" customHeight="1" s="71">
      <c r="A479" s="86" t="n"/>
      <c r="B479" s="83" t="n"/>
      <c r="C479" s="50" t="n"/>
      <c r="D479" s="50" t="n"/>
      <c r="E479" s="68">
        <f>VLOOKUP(L479,'SKU Data'!A:B,2,0)</f>
        <v/>
      </c>
      <c r="F479" s="50" t="n"/>
      <c r="G479" s="126">
        <f>VLOOKUP(L479,'SKU Data'!A:C,3,0)</f>
        <v/>
      </c>
      <c r="H479" s="126">
        <f>F479*G479</f>
        <v/>
      </c>
      <c r="I479" s="50" t="n"/>
      <c r="J479" s="68" t="n"/>
      <c r="K479" s="50" t="n"/>
      <c r="L479" s="65" t="n"/>
      <c r="M479" s="70">
        <f>VLOOKUP(L479,'SKU Data'!A:D,4,0)</f>
        <v/>
      </c>
    </row>
    <row r="480" ht="21.75" customFormat="1" customHeight="1" s="71">
      <c r="A480" s="86" t="n"/>
      <c r="B480" s="83" t="n"/>
      <c r="C480" s="50" t="n"/>
      <c r="D480" s="50" t="n"/>
      <c r="E480" s="68">
        <f>VLOOKUP(L480,'SKU Data'!A:B,2,0)</f>
        <v/>
      </c>
      <c r="F480" s="50" t="n"/>
      <c r="G480" s="126">
        <f>VLOOKUP(L480,'SKU Data'!A:C,3,0)</f>
        <v/>
      </c>
      <c r="H480" s="126">
        <f>F480*G480</f>
        <v/>
      </c>
      <c r="I480" s="50" t="n"/>
      <c r="J480" s="68" t="n"/>
      <c r="K480" s="50" t="n"/>
      <c r="L480" s="65" t="n"/>
      <c r="M480" s="70">
        <f>VLOOKUP(L480,'SKU Data'!A:D,4,0)</f>
        <v/>
      </c>
    </row>
    <row r="481" ht="21.75" customFormat="1" customHeight="1" s="71">
      <c r="A481" s="86" t="n"/>
      <c r="B481" s="83" t="n"/>
      <c r="C481" s="50" t="n"/>
      <c r="D481" s="50" t="n"/>
      <c r="E481" s="68">
        <f>VLOOKUP(L481,'SKU Data'!A:B,2,0)</f>
        <v/>
      </c>
      <c r="F481" s="50" t="n"/>
      <c r="G481" s="126">
        <f>VLOOKUP(L481,'SKU Data'!A:C,3,0)</f>
        <v/>
      </c>
      <c r="H481" s="126">
        <f>F481*G481</f>
        <v/>
      </c>
      <c r="I481" s="50" t="n"/>
      <c r="J481" s="68" t="n"/>
      <c r="K481" s="50" t="n"/>
      <c r="L481" s="65" t="n"/>
      <c r="M481" s="70">
        <f>VLOOKUP(L481,'SKU Data'!A:D,4,0)</f>
        <v/>
      </c>
    </row>
    <row r="482" ht="21.75" customFormat="1" customHeight="1" s="71">
      <c r="A482" s="86" t="n"/>
      <c r="B482" s="83" t="n"/>
      <c r="C482" s="50" t="n"/>
      <c r="D482" s="50" t="n"/>
      <c r="E482" s="68">
        <f>VLOOKUP(L482,'SKU Data'!A:B,2,0)</f>
        <v/>
      </c>
      <c r="F482" s="50" t="n"/>
      <c r="G482" s="126">
        <f>VLOOKUP(L482,'SKU Data'!A:C,3,0)</f>
        <v/>
      </c>
      <c r="H482" s="126">
        <f>F482*G482</f>
        <v/>
      </c>
      <c r="I482" s="50" t="n"/>
      <c r="J482" s="68" t="n"/>
      <c r="K482" s="50" t="n"/>
      <c r="L482" s="65" t="n"/>
      <c r="M482" s="70">
        <f>VLOOKUP(L482,'SKU Data'!A:D,4,0)</f>
        <v/>
      </c>
    </row>
    <row r="483" ht="21.75" customFormat="1" customHeight="1" s="71">
      <c r="A483" s="86" t="n"/>
      <c r="B483" s="83" t="n"/>
      <c r="C483" s="50" t="n"/>
      <c r="D483" s="50" t="n"/>
      <c r="E483" s="68">
        <f>VLOOKUP(L483,'SKU Data'!A:B,2,0)</f>
        <v/>
      </c>
      <c r="F483" s="50" t="n"/>
      <c r="G483" s="126">
        <f>VLOOKUP(L483,'SKU Data'!A:C,3,0)</f>
        <v/>
      </c>
      <c r="H483" s="126">
        <f>F483*G483</f>
        <v/>
      </c>
      <c r="I483" s="50" t="n"/>
      <c r="J483" s="68" t="n"/>
      <c r="K483" s="50" t="n"/>
      <c r="L483" s="65" t="n"/>
      <c r="M483" s="70">
        <f>VLOOKUP(L483,'SKU Data'!A:D,4,0)</f>
        <v/>
      </c>
    </row>
    <row r="484" ht="21.75" customFormat="1" customHeight="1" s="71">
      <c r="A484" s="86" t="n"/>
      <c r="B484" s="83" t="n"/>
      <c r="C484" s="50" t="n"/>
      <c r="D484" s="50" t="n"/>
      <c r="E484" s="68">
        <f>VLOOKUP(L484,'SKU Data'!A:B,2,0)</f>
        <v/>
      </c>
      <c r="F484" s="50" t="n"/>
      <c r="G484" s="126">
        <f>VLOOKUP(L484,'SKU Data'!A:C,3,0)</f>
        <v/>
      </c>
      <c r="H484" s="126">
        <f>F484*G484</f>
        <v/>
      </c>
      <c r="I484" s="50" t="n"/>
      <c r="J484" s="68" t="n"/>
      <c r="K484" s="50" t="n"/>
      <c r="L484" s="65" t="n"/>
      <c r="M484" s="70">
        <f>VLOOKUP(L484,'SKU Data'!A:D,4,0)</f>
        <v/>
      </c>
    </row>
    <row r="485" ht="21.75" customFormat="1" customHeight="1" s="71">
      <c r="A485" s="86" t="n"/>
      <c r="B485" s="83" t="n"/>
      <c r="C485" s="50" t="n"/>
      <c r="D485" s="50" t="n"/>
      <c r="E485" s="68">
        <f>VLOOKUP(L485,'SKU Data'!A:B,2,0)</f>
        <v/>
      </c>
      <c r="F485" s="50" t="n"/>
      <c r="G485" s="126">
        <f>VLOOKUP(L485,'SKU Data'!A:C,3,0)</f>
        <v/>
      </c>
      <c r="H485" s="126">
        <f>F485*G485</f>
        <v/>
      </c>
      <c r="I485" s="50" t="n"/>
      <c r="J485" s="68" t="n"/>
      <c r="K485" s="50" t="n"/>
      <c r="L485" s="65" t="n"/>
      <c r="M485" s="70">
        <f>VLOOKUP(L485,'SKU Data'!A:D,4,0)</f>
        <v/>
      </c>
    </row>
    <row r="486" ht="21.75" customFormat="1" customHeight="1" s="71">
      <c r="A486" s="86" t="n"/>
      <c r="B486" s="83" t="n"/>
      <c r="C486" s="50" t="n"/>
      <c r="D486" s="50" t="n"/>
      <c r="E486" s="68">
        <f>VLOOKUP(L486,'SKU Data'!A:B,2,0)</f>
        <v/>
      </c>
      <c r="F486" s="50" t="n"/>
      <c r="G486" s="126">
        <f>VLOOKUP(L486,'SKU Data'!A:C,3,0)</f>
        <v/>
      </c>
      <c r="H486" s="126">
        <f>F486*G486</f>
        <v/>
      </c>
      <c r="I486" s="50" t="n"/>
      <c r="J486" s="68" t="n"/>
      <c r="K486" s="50" t="n"/>
      <c r="L486" s="65" t="n"/>
      <c r="M486" s="70">
        <f>VLOOKUP(L486,'SKU Data'!A:D,4,0)</f>
        <v/>
      </c>
    </row>
    <row r="487" ht="21.75" customFormat="1" customHeight="1" s="71">
      <c r="A487" s="86" t="n"/>
      <c r="B487" s="83" t="n"/>
      <c r="C487" s="50" t="n"/>
      <c r="D487" s="50" t="n"/>
      <c r="E487" s="68">
        <f>VLOOKUP(L487,'SKU Data'!A:B,2,0)</f>
        <v/>
      </c>
      <c r="F487" s="50" t="n"/>
      <c r="G487" s="126">
        <f>VLOOKUP(L487,'SKU Data'!A:C,3,0)</f>
        <v/>
      </c>
      <c r="H487" s="126">
        <f>F487*G487</f>
        <v/>
      </c>
      <c r="I487" s="50" t="n"/>
      <c r="J487" s="68" t="n"/>
      <c r="K487" s="50" t="n"/>
      <c r="L487" s="65" t="n"/>
      <c r="M487" s="70">
        <f>VLOOKUP(L487,'SKU Data'!A:D,4,0)</f>
        <v/>
      </c>
    </row>
    <row r="488" ht="21.75" customFormat="1" customHeight="1" s="71">
      <c r="A488" s="86" t="n"/>
      <c r="B488" s="83" t="n"/>
      <c r="C488" s="50" t="n"/>
      <c r="D488" s="50" t="n"/>
      <c r="E488" s="68">
        <f>VLOOKUP(L488,'SKU Data'!A:B,2,0)</f>
        <v/>
      </c>
      <c r="F488" s="50" t="n"/>
      <c r="G488" s="126">
        <f>VLOOKUP(L488,'SKU Data'!A:C,3,0)</f>
        <v/>
      </c>
      <c r="H488" s="126">
        <f>F488*G488</f>
        <v/>
      </c>
      <c r="I488" s="50" t="n"/>
      <c r="J488" s="68" t="n"/>
      <c r="K488" s="50" t="n"/>
      <c r="L488" s="65" t="n"/>
      <c r="M488" s="70">
        <f>VLOOKUP(L488,'SKU Data'!A:D,4,0)</f>
        <v/>
      </c>
    </row>
    <row r="489" ht="21.75" customFormat="1" customHeight="1" s="71">
      <c r="A489" s="86" t="n"/>
      <c r="B489" s="83" t="n"/>
      <c r="C489" s="50" t="n"/>
      <c r="D489" s="50" t="n"/>
      <c r="E489" s="68">
        <f>VLOOKUP(L489,'SKU Data'!A:B,2,0)</f>
        <v/>
      </c>
      <c r="F489" s="50" t="n"/>
      <c r="G489" s="126">
        <f>VLOOKUP(L489,'SKU Data'!A:C,3,0)</f>
        <v/>
      </c>
      <c r="H489" s="126">
        <f>F489*G489</f>
        <v/>
      </c>
      <c r="I489" s="50" t="n"/>
      <c r="J489" s="68" t="n"/>
      <c r="K489" s="50" t="n"/>
      <c r="L489" s="65" t="n"/>
      <c r="M489" s="70">
        <f>VLOOKUP(L489,'SKU Data'!A:D,4,0)</f>
        <v/>
      </c>
    </row>
    <row r="490" ht="21.75" customFormat="1" customHeight="1" s="71">
      <c r="A490" s="86" t="n"/>
      <c r="B490" s="83" t="n"/>
      <c r="C490" s="50" t="n"/>
      <c r="D490" s="50" t="n"/>
      <c r="E490" s="68">
        <f>VLOOKUP(L490,'SKU Data'!A:B,2,0)</f>
        <v/>
      </c>
      <c r="F490" s="50" t="n"/>
      <c r="G490" s="126">
        <f>VLOOKUP(L490,'SKU Data'!A:C,3,0)</f>
        <v/>
      </c>
      <c r="H490" s="126">
        <f>F490*G490</f>
        <v/>
      </c>
      <c r="I490" s="50" t="n"/>
      <c r="J490" s="68" t="n"/>
      <c r="K490" s="50" t="n"/>
      <c r="L490" s="65" t="n"/>
      <c r="M490" s="70">
        <f>VLOOKUP(L490,'SKU Data'!A:D,4,0)</f>
        <v/>
      </c>
    </row>
    <row r="491" ht="21.75" customFormat="1" customHeight="1" s="71">
      <c r="A491" s="86" t="n"/>
      <c r="B491" s="83" t="n"/>
      <c r="C491" s="50" t="n"/>
      <c r="D491" s="50" t="n"/>
      <c r="E491" s="68">
        <f>VLOOKUP(L491,'SKU Data'!A:B,2,0)</f>
        <v/>
      </c>
      <c r="F491" s="50" t="n"/>
      <c r="G491" s="126">
        <f>VLOOKUP(L491,'SKU Data'!A:C,3,0)</f>
        <v/>
      </c>
      <c r="H491" s="126">
        <f>F491*G491</f>
        <v/>
      </c>
      <c r="I491" s="50" t="n"/>
      <c r="J491" s="68" t="n"/>
      <c r="K491" s="50" t="n"/>
      <c r="L491" s="65" t="n"/>
      <c r="M491" s="70">
        <f>VLOOKUP(L491,'SKU Data'!A:D,4,0)</f>
        <v/>
      </c>
    </row>
    <row r="492" ht="21.75" customFormat="1" customHeight="1" s="71">
      <c r="A492" s="86" t="n"/>
      <c r="B492" s="83" t="n"/>
      <c r="C492" s="50" t="n"/>
      <c r="D492" s="50" t="n"/>
      <c r="E492" s="68">
        <f>VLOOKUP(L492,'SKU Data'!A:B,2,0)</f>
        <v/>
      </c>
      <c r="F492" s="50" t="n"/>
      <c r="G492" s="126">
        <f>VLOOKUP(L492,'SKU Data'!A:C,3,0)</f>
        <v/>
      </c>
      <c r="H492" s="126">
        <f>F492*G492</f>
        <v/>
      </c>
      <c r="I492" s="50" t="n"/>
      <c r="J492" s="68" t="n"/>
      <c r="K492" s="50" t="n"/>
      <c r="L492" s="65" t="n"/>
      <c r="M492" s="70">
        <f>VLOOKUP(L492,'SKU Data'!A:D,4,0)</f>
        <v/>
      </c>
    </row>
    <row r="493" ht="21.75" customFormat="1" customHeight="1" s="71">
      <c r="A493" s="86" t="n"/>
      <c r="B493" s="83" t="n"/>
      <c r="C493" s="50" t="n"/>
      <c r="D493" s="50" t="n"/>
      <c r="E493" s="68">
        <f>VLOOKUP(L493,'SKU Data'!A:B,2,0)</f>
        <v/>
      </c>
      <c r="F493" s="50" t="n"/>
      <c r="G493" s="126">
        <f>VLOOKUP(L493,'SKU Data'!A:C,3,0)</f>
        <v/>
      </c>
      <c r="H493" s="126">
        <f>F493*G493</f>
        <v/>
      </c>
      <c r="I493" s="50" t="n"/>
      <c r="J493" s="68" t="n"/>
      <c r="K493" s="50" t="n"/>
      <c r="L493" s="65" t="n"/>
      <c r="M493" s="70">
        <f>VLOOKUP(L493,'SKU Data'!A:D,4,0)</f>
        <v/>
      </c>
    </row>
    <row r="494" ht="21.75" customFormat="1" customHeight="1" s="71">
      <c r="A494" s="86" t="n"/>
      <c r="B494" s="83" t="n"/>
      <c r="C494" s="50" t="n"/>
      <c r="D494" s="50" t="n"/>
      <c r="E494" s="68">
        <f>VLOOKUP(L494,'SKU Data'!A:B,2,0)</f>
        <v/>
      </c>
      <c r="F494" s="50" t="n"/>
      <c r="G494" s="126">
        <f>VLOOKUP(L494,'SKU Data'!A:C,3,0)</f>
        <v/>
      </c>
      <c r="H494" s="126">
        <f>F494*G494</f>
        <v/>
      </c>
      <c r="I494" s="50" t="n"/>
      <c r="J494" s="68" t="n"/>
      <c r="K494" s="50" t="n"/>
      <c r="L494" s="65" t="n"/>
      <c r="M494" s="70">
        <f>VLOOKUP(L494,'SKU Data'!A:D,4,0)</f>
        <v/>
      </c>
    </row>
    <row r="495" ht="21.75" customFormat="1" customHeight="1" s="71">
      <c r="A495" s="86" t="n"/>
      <c r="B495" s="83" t="n"/>
      <c r="C495" s="50" t="n"/>
      <c r="D495" s="50" t="n"/>
      <c r="E495" s="68">
        <f>VLOOKUP(L495,'SKU Data'!A:B,2,0)</f>
        <v/>
      </c>
      <c r="F495" s="50" t="n"/>
      <c r="G495" s="126">
        <f>VLOOKUP(L495,'SKU Data'!A:C,3,0)</f>
        <v/>
      </c>
      <c r="H495" s="126">
        <f>F495*G495</f>
        <v/>
      </c>
      <c r="I495" s="50" t="n"/>
      <c r="J495" s="68" t="n"/>
      <c r="K495" s="50" t="n"/>
      <c r="L495" s="65" t="n"/>
      <c r="M495" s="70">
        <f>VLOOKUP(L495,'SKU Data'!A:D,4,0)</f>
        <v/>
      </c>
    </row>
    <row r="496" ht="21.75" customFormat="1" customHeight="1" s="71">
      <c r="A496" s="86" t="n"/>
      <c r="B496" s="83" t="n"/>
      <c r="C496" s="50" t="n"/>
      <c r="D496" s="50" t="n"/>
      <c r="E496" s="68">
        <f>VLOOKUP(L496,'SKU Data'!A:B,2,0)</f>
        <v/>
      </c>
      <c r="F496" s="50" t="n"/>
      <c r="G496" s="126">
        <f>VLOOKUP(L496,'SKU Data'!A:C,3,0)</f>
        <v/>
      </c>
      <c r="H496" s="126">
        <f>F496*G496</f>
        <v/>
      </c>
      <c r="I496" s="50" t="n"/>
      <c r="J496" s="68" t="n"/>
      <c r="K496" s="50" t="n"/>
      <c r="L496" s="65" t="n"/>
      <c r="M496" s="70">
        <f>VLOOKUP(L496,'SKU Data'!A:D,4,0)</f>
        <v/>
      </c>
    </row>
    <row r="497" ht="21.75" customFormat="1" customHeight="1" s="71">
      <c r="A497" s="86" t="n"/>
      <c r="B497" s="83" t="n"/>
      <c r="C497" s="50" t="n"/>
      <c r="D497" s="50" t="n"/>
      <c r="E497" s="68">
        <f>VLOOKUP(L497,'SKU Data'!A:B,2,0)</f>
        <v/>
      </c>
      <c r="F497" s="50" t="n"/>
      <c r="G497" s="126">
        <f>VLOOKUP(L497,'SKU Data'!A:C,3,0)</f>
        <v/>
      </c>
      <c r="H497" s="126">
        <f>F497*G497</f>
        <v/>
      </c>
      <c r="I497" s="50" t="n"/>
      <c r="J497" s="68" t="n"/>
      <c r="K497" s="50" t="n"/>
      <c r="L497" s="65" t="n"/>
      <c r="M497" s="70">
        <f>VLOOKUP(L497,'SKU Data'!A:D,4,0)</f>
        <v/>
      </c>
    </row>
    <row r="498" ht="21.75" customFormat="1" customHeight="1" s="71">
      <c r="A498" s="86" t="n"/>
      <c r="B498" s="83" t="n"/>
      <c r="C498" s="50" t="n"/>
      <c r="D498" s="50" t="n"/>
      <c r="E498" s="68">
        <f>VLOOKUP(L498,'SKU Data'!A:B,2,0)</f>
        <v/>
      </c>
      <c r="F498" s="50" t="n"/>
      <c r="G498" s="126">
        <f>VLOOKUP(L498,'SKU Data'!A:C,3,0)</f>
        <v/>
      </c>
      <c r="H498" s="126">
        <f>F498*G498</f>
        <v/>
      </c>
      <c r="I498" s="50" t="n"/>
      <c r="J498" s="68" t="n"/>
      <c r="K498" s="50" t="n"/>
      <c r="L498" s="65" t="n"/>
      <c r="M498" s="70">
        <f>VLOOKUP(L498,'SKU Data'!A:D,4,0)</f>
        <v/>
      </c>
    </row>
    <row r="499" ht="21.75" customFormat="1" customHeight="1" s="71">
      <c r="A499" s="86" t="n"/>
      <c r="B499" s="83" t="n"/>
      <c r="C499" s="50" t="n"/>
      <c r="D499" s="50" t="n"/>
      <c r="E499" s="68">
        <f>VLOOKUP(L499,'SKU Data'!A:B,2,0)</f>
        <v/>
      </c>
      <c r="F499" s="50" t="n"/>
      <c r="G499" s="126">
        <f>VLOOKUP(L499,'SKU Data'!A:C,3,0)</f>
        <v/>
      </c>
      <c r="H499" s="126">
        <f>F499*G499</f>
        <v/>
      </c>
      <c r="I499" s="50" t="n"/>
      <c r="J499" s="68" t="n"/>
      <c r="K499" s="50" t="n"/>
      <c r="L499" s="65" t="n"/>
      <c r="M499" s="70">
        <f>VLOOKUP(L499,'SKU Data'!A:D,4,0)</f>
        <v/>
      </c>
    </row>
    <row r="500" ht="21.75" customFormat="1" customHeight="1" s="71" thickBot="1">
      <c r="A500" s="116" t="n"/>
      <c r="B500" s="115" t="n"/>
      <c r="C500" s="110" t="n"/>
      <c r="D500" s="110" t="n"/>
      <c r="E500" s="111">
        <f>VLOOKUP(L500,'SKU Data'!A:B,2,0)</f>
        <v/>
      </c>
      <c r="F500" s="110" t="n"/>
      <c r="G500" s="127">
        <f>VLOOKUP(L500,'SKU Data'!A:C,3,0)</f>
        <v/>
      </c>
      <c r="H500" s="127">
        <f>F500*G500</f>
        <v/>
      </c>
      <c r="I500" s="110" t="n"/>
      <c r="J500" s="111" t="n"/>
      <c r="K500" s="110" t="n"/>
      <c r="L500" s="113" t="n"/>
      <c r="M500" s="114">
        <f>VLOOKUP(L500,'SKU Data'!A:D,4,0)</f>
        <v/>
      </c>
    </row>
    <row r="501" ht="21.75" customFormat="1" customHeight="1" s="71"/>
    <row r="502" ht="21.75" customFormat="1" customHeight="1" s="71"/>
    <row r="503" ht="21.75" customFormat="1" customHeight="1" s="71"/>
    <row r="504" ht="21.75" customFormat="1" customHeight="1" s="71"/>
    <row r="505" ht="21.75" customFormat="1" customHeight="1" s="71"/>
    <row r="506" ht="21.75" customFormat="1" customHeight="1" s="71"/>
    <row r="507" ht="21.75" customFormat="1" customHeight="1" s="71"/>
    <row r="508" ht="21.75" customFormat="1" customHeight="1" s="71"/>
    <row r="509" ht="21.75" customFormat="1" customHeight="1" s="71"/>
    <row r="510" ht="21.75" customFormat="1" customHeight="1" s="71"/>
    <row r="511" ht="21.75" customFormat="1" customHeight="1" s="71"/>
    <row r="512" ht="21.75" customFormat="1" customHeight="1" s="71"/>
    <row r="513" ht="21.75" customFormat="1" customHeight="1" s="71"/>
    <row r="514" ht="21.75" customFormat="1" customHeight="1" s="71"/>
    <row r="515" ht="21.75" customFormat="1" customHeight="1" s="71"/>
    <row r="516" ht="21.75" customFormat="1" customHeight="1" s="71"/>
    <row r="517" ht="21.75" customFormat="1" customHeight="1" s="71"/>
    <row r="518" ht="21.75" customFormat="1" customHeight="1" s="71"/>
    <row r="519" ht="21.75" customFormat="1" customHeight="1" s="71"/>
    <row r="520" ht="21.75" customFormat="1" customHeight="1" s="71"/>
    <row r="521" ht="21.75" customFormat="1" customHeight="1" s="71"/>
    <row r="522" ht="21.75" customFormat="1" customHeight="1" s="71"/>
    <row r="523" ht="21.75" customFormat="1" customHeight="1" s="71"/>
    <row r="524" ht="21.75" customFormat="1" customHeight="1" s="71"/>
    <row r="525" ht="21.75" customFormat="1" customHeight="1" s="71"/>
    <row r="526" ht="21.75" customFormat="1" customHeight="1" s="71"/>
    <row r="527" ht="21.75" customFormat="1" customHeight="1" s="71"/>
    <row r="528" ht="21.75" customFormat="1" customHeight="1" s="71"/>
    <row r="529" ht="21.75" customFormat="1" customHeight="1" s="62"/>
    <row r="530" ht="21.75" customFormat="1" customHeight="1" s="62"/>
    <row r="531" ht="21.75" customFormat="1" customHeight="1" s="62"/>
    <row r="532" ht="21.75" customFormat="1" customHeight="1" s="62"/>
    <row r="533" ht="21.75" customFormat="1" customHeight="1" s="62"/>
    <row r="534" ht="21.75" customFormat="1" customHeight="1" s="62"/>
  </sheetData>
  <autoFilter ref="A6:M138"/>
  <mergeCells count="1">
    <mergeCell ref="C4:J4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H4"/>
  <sheetViews>
    <sheetView topLeftCell="A1026" workbookViewId="0">
      <selection activeCell="D1043" sqref="D1043"/>
    </sheetView>
  </sheetViews>
  <sheetFormatPr baseColWidth="8" defaultColWidth="9.109375" defaultRowHeight="13.2"/>
  <cols>
    <col width="15.33203125" customWidth="1" style="20" min="1" max="1"/>
    <col width="27.33203125" bestFit="1" customWidth="1" style="25" min="2" max="2"/>
    <col width="9.5546875" customWidth="1" style="128" min="3" max="3"/>
    <col width="27.109375" customWidth="1" style="109" min="4" max="4"/>
    <col width="29.109375" bestFit="1" customWidth="1" style="109" min="5" max="5"/>
    <col width="22.44140625" customWidth="1" style="109" min="6" max="6"/>
    <col width="9.109375" customWidth="1" style="109" min="7" max="7"/>
    <col width="13.109375" customWidth="1" style="20" min="8" max="8"/>
    <col width="9.109375" customWidth="1" style="109" min="9" max="9"/>
    <col width="13.109375" bestFit="1" customWidth="1" style="109" min="10" max="10"/>
    <col width="21.109375" bestFit="1" customWidth="1" style="109" min="11" max="11"/>
    <col width="9.109375" customWidth="1" style="109" min="12" max="16384"/>
  </cols>
  <sheetData>
    <row r="1" ht="13.8" customFormat="1" customHeight="1" s="109" thickBot="1">
      <c r="B1" s="25" t="n"/>
      <c r="C1" s="128" t="n"/>
      <c r="H1" s="20" t="n"/>
    </row>
    <row r="2" ht="22.5" customFormat="1" customHeight="1" s="41" thickBot="1">
      <c r="A2" s="46" t="inlineStr">
        <is>
          <t>Sku #</t>
        </is>
      </c>
      <c r="B2" s="47" t="inlineStr">
        <is>
          <t>Style #</t>
        </is>
      </c>
      <c r="C2" s="129" t="inlineStr">
        <is>
          <t>Cost</t>
        </is>
      </c>
      <c r="D2" s="49" t="inlineStr">
        <is>
          <t>Right Click Style #</t>
        </is>
      </c>
      <c r="H2" s="42" t="n"/>
    </row>
    <row r="3">
      <c r="A3" t="inlineStr">
        <is>
          <t>000000000001</t>
        </is>
      </c>
      <c r="B3" t="inlineStr">
        <is>
          <t>AB0001A0001Q</t>
        </is>
      </c>
      <c r="C3" t="n">
        <v>45</v>
      </c>
      <c r="D3" t="inlineStr">
        <is>
          <t>AB0001A0001Q</t>
        </is>
      </c>
    </row>
    <row r="4">
      <c r="A4" t="inlineStr">
        <is>
          <t>000000000002</t>
        </is>
      </c>
      <c r="B4" t="inlineStr">
        <is>
          <t>CD0002B0002R</t>
        </is>
      </c>
      <c r="C4" t="n">
        <v>52.5</v>
      </c>
      <c r="D4" t="inlineStr">
        <is>
          <t>CD0002B0002R</t>
        </is>
      </c>
    </row>
    <row r="566" ht="13.8" customHeight="1" thickBot="1"/>
    <row r="871" customFormat="1" s="102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l5Zyo5lxeqKid7k9baTDcw==" formatRows="1" sort="1" spinCount="100000" hashValue="7DnYtOnJRjcJsYk4xRJFEPQuCcDnrLH3FulCu6bBEeqfneo223JY4Gn1Xu87Rav9xgN5NXy+yORQrY7ttlIuSw=="/>
  <autoFilter ref="A2:F697"/>
  <mergeCells count="1">
    <mergeCell ref="I199:J199"/>
  </mergeCells>
  <conditionalFormatting sqref="C3:C128 C258:C259 C262:C263 E19:E20 E87:E89 I87:I89">
    <cfRule type="cellIs" priority="30" operator="equal" dxfId="0" stopIfTrue="1">
      <formula>"LTL"</formula>
    </cfRule>
  </conditionalFormatting>
  <conditionalFormatting sqref="E6:E11">
    <cfRule type="cellIs" priority="23" operator="equal" dxfId="0" stopIfTrue="1">
      <formula>"LTL"</formula>
    </cfRule>
    <cfRule type="cellIs" priority="10" operator="equal" dxfId="0" stopIfTrue="1">
      <formula>"LTL"</formula>
    </cfRule>
  </conditionalFormatting>
  <conditionalFormatting sqref="E13">
    <cfRule type="cellIs" priority="22" operator="equal" dxfId="0" stopIfTrue="1">
      <formula>"LTL"</formula>
    </cfRule>
    <cfRule type="cellIs" priority="9" operator="equal" dxfId="0" stopIfTrue="1">
      <formula>"LTL"</formula>
    </cfRule>
  </conditionalFormatting>
  <conditionalFormatting sqref="E14">
    <cfRule type="cellIs" priority="21" operator="equal" dxfId="0" stopIfTrue="1">
      <formula>"LTL"</formula>
    </cfRule>
    <cfRule type="cellIs" priority="8" operator="equal" dxfId="0" stopIfTrue="1">
      <formula>"LTL"</formula>
    </cfRule>
  </conditionalFormatting>
  <conditionalFormatting sqref="E15">
    <cfRule type="cellIs" priority="20" operator="equal" dxfId="0" stopIfTrue="1">
      <formula>"LTL"</formula>
    </cfRule>
    <cfRule type="cellIs" priority="7" operator="equal" dxfId="0" stopIfTrue="1">
      <formula>"LTL"</formula>
    </cfRule>
  </conditionalFormatting>
  <conditionalFormatting sqref="E16">
    <cfRule type="cellIs" priority="19" operator="equal" dxfId="0" stopIfTrue="1">
      <formula>"LTL"</formula>
    </cfRule>
    <cfRule type="cellIs" priority="6" operator="equal" dxfId="0" stopIfTrue="1">
      <formula>"LTL"</formula>
    </cfRule>
  </conditionalFormatting>
  <conditionalFormatting sqref="E17">
    <cfRule type="cellIs" priority="18" operator="equal" dxfId="0" stopIfTrue="1">
      <formula>"LTL"</formula>
    </cfRule>
    <cfRule type="cellIs" priority="5" operator="equal" dxfId="0" stopIfTrue="1">
      <formula>"LTL"</formula>
    </cfRule>
  </conditionalFormatting>
  <conditionalFormatting sqref="E22">
    <cfRule type="cellIs" priority="17" operator="equal" dxfId="0" stopIfTrue="1">
      <formula>"LTL"</formula>
    </cfRule>
    <cfRule type="cellIs" priority="4" operator="equal" dxfId="0" stopIfTrue="1">
      <formula>"LTL"</formula>
    </cfRule>
  </conditionalFormatting>
  <conditionalFormatting sqref="E25">
    <cfRule type="cellIs" priority="16" operator="equal" dxfId="0" stopIfTrue="1">
      <formula>"LTL"</formula>
    </cfRule>
    <cfRule type="cellIs" priority="3" operator="equal" dxfId="0" stopIfTrue="1">
      <formula>"LTL"</formula>
    </cfRule>
  </conditionalFormatting>
  <conditionalFormatting sqref="E26">
    <cfRule type="cellIs" priority="15" operator="equal" dxfId="0" stopIfTrue="1">
      <formula>"LTL"</formula>
    </cfRule>
    <cfRule type="cellIs" priority="2" operator="equal" dxfId="0" stopIfTrue="1">
      <formula>"LTL"</formula>
    </cfRule>
  </conditionalFormatting>
  <conditionalFormatting sqref="E28">
    <cfRule type="cellIs" priority="14" operator="equal" dxfId="0" stopIfTrue="1">
      <formula>"LTL"</formula>
    </cfRule>
    <cfRule type="cellIs" priority="1" operator="equal" dxfId="0" stopIfTrue="1">
      <formula>"LTL"</formula>
    </cfRule>
  </conditionalFormatting>
  <conditionalFormatting sqref="E3">
    <cfRule type="cellIs" priority="13" operator="equal" dxfId="0" stopIfTrue="1">
      <formula>"LTL"</formula>
    </cfRule>
  </conditionalFormatting>
  <conditionalFormatting sqref="E4">
    <cfRule type="cellIs" priority="12" operator="equal" dxfId="0" stopIfTrue="1">
      <formula>"LTL"</formula>
    </cfRule>
  </conditionalFormatting>
  <conditionalFormatting sqref="E5">
    <cfRule type="cellIs" priority="11" operator="equal" dxfId="0" stopIfTrue="1">
      <formula>"LTL"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Minaxi</dc:creator>
  <dcterms:created xmlns:dcterms="http://purl.org/dc/terms/" xmlns:xsi="http://www.w3.org/2001/XMLSchema-instance" xsi:type="dcterms:W3CDTF">2012-12-06T09:40:14Z</dcterms:created>
  <dcterms:modified xmlns:dcterms="http://purl.org/dc/terms/" xmlns:xsi="http://www.w3.org/2001/XMLSchema-instance" xsi:type="dcterms:W3CDTF">2026-07-22T18:58:25Z</dcterms:modified>
  <cp:lastModifiedBy>admin</cp:lastModifiedBy>
  <cp:lastPrinted>2014-04-19T07:23:06Z</cp:lastPrinted>
</cp:coreProperties>
</file>